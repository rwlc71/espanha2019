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/>
  <mc:AlternateContent xmlns:mc="http://schemas.openxmlformats.org/markup-compatibility/2006">
    <mc:Choice Requires="x15">
      <x15ac:absPath xmlns:x15ac="http://schemas.microsoft.com/office/spreadsheetml/2010/11/ac" url="G:\Arquivos Pessoais\Rogerio\Financeiros\"/>
    </mc:Choice>
  </mc:AlternateContent>
  <xr:revisionPtr revIDLastSave="0" documentId="13_ncr:1_{9934C82B-926E-4E61-B344-34186BBEC796}" xr6:coauthVersionLast="46" xr6:coauthVersionMax="46" xr10:uidLastSave="{00000000-0000-0000-0000-000000000000}"/>
  <bookViews>
    <workbookView xWindow="-120" yWindow="-120" windowWidth="29040" windowHeight="15840" tabRatio="653" activeTab="1" xr2:uid="{00000000-000D-0000-FFFF-FFFF00000000}"/>
  </bookViews>
  <sheets>
    <sheet name="Atualização" sheetId="4" r:id="rId1"/>
    <sheet name="Previsão de orçamentária" sheetId="5" r:id="rId2"/>
    <sheet name="XP 1451  Vence dia 01" sheetId="14" r:id="rId3"/>
    <sheet name="BB Master  5077 Venc dia 02" sheetId="7" r:id="rId4"/>
    <sheet name="BB VISA 4356 - Vence dia 12 " sheetId="8" r:id="rId5"/>
    <sheet name="Santander 9674 Vende dia 22" sheetId="6" r:id="rId6"/>
    <sheet name="BB Petrobras 8392 Vence dia 22" sheetId="9" r:id="rId7"/>
  </sheets>
  <definedNames>
    <definedName name="_xlnm._FilterDatabase" localSheetId="3" hidden="1">'BB Master  5077 Venc dia 02'!#REF!</definedName>
    <definedName name="_xlnm._FilterDatabase" localSheetId="6" hidden="1">'BB Petrobras 8392 Vence dia 22'!$O$2:$Q$27</definedName>
    <definedName name="_xlnm._FilterDatabase" localSheetId="4" hidden="1">'BB VISA 4356 - Vence dia 12 '!#REF!</definedName>
    <definedName name="_xlnm._FilterDatabase" localSheetId="5" hidden="1">'Santander 9674 Vende dia 22'!#REF!</definedName>
  </definedNames>
  <calcPr calcId="181029"/>
</workbook>
</file>

<file path=xl/calcChain.xml><?xml version="1.0" encoding="utf-8"?>
<calcChain xmlns="http://schemas.openxmlformats.org/spreadsheetml/2006/main">
  <c r="G2" i="5" l="1"/>
  <c r="F12" i="5"/>
  <c r="B2" i="4"/>
  <c r="Z4" i="14"/>
  <c r="W6" i="14"/>
  <c r="T6" i="14"/>
  <c r="T5" i="14"/>
  <c r="T4" i="14"/>
  <c r="W5" i="14"/>
  <c r="W4" i="14"/>
  <c r="Z6" i="9"/>
  <c r="W6" i="9"/>
  <c r="T7" i="9"/>
  <c r="F4" i="5" l="1"/>
  <c r="Z5" i="8"/>
  <c r="W6" i="8"/>
  <c r="T21" i="8"/>
  <c r="W5" i="8"/>
  <c r="T19" i="8"/>
  <c r="BA4" i="8"/>
  <c r="BA29" i="8" s="1"/>
  <c r="AY1" i="8"/>
  <c r="AY3" i="8" s="1"/>
  <c r="AX4" i="8"/>
  <c r="AX29" i="8" s="1"/>
  <c r="AV1" i="8"/>
  <c r="AV3" i="8" s="1"/>
  <c r="AU4" i="8"/>
  <c r="AU29" i="8" s="1"/>
  <c r="AS1" i="8"/>
  <c r="AS3" i="8" s="1"/>
  <c r="AR4" i="8"/>
  <c r="AR29" i="8" s="1"/>
  <c r="AP1" i="8"/>
  <c r="AP3" i="8" s="1"/>
  <c r="AO4" i="8"/>
  <c r="AO29" i="8" s="1"/>
  <c r="AM1" i="8"/>
  <c r="AM3" i="8" s="1"/>
  <c r="AL4" i="8"/>
  <c r="AI4" i="8"/>
  <c r="AF4" i="8"/>
  <c r="AC4" i="8"/>
  <c r="Z4" i="8"/>
  <c r="W4" i="8"/>
  <c r="T12" i="8"/>
  <c r="F25" i="5"/>
  <c r="Z7" i="7"/>
  <c r="W7" i="7"/>
  <c r="T21" i="7"/>
  <c r="Z6" i="7"/>
  <c r="W6" i="7"/>
  <c r="T7" i="7"/>
  <c r="Q9" i="9" l="1"/>
  <c r="Q7" i="9"/>
  <c r="Q18" i="7" l="1"/>
  <c r="J17" i="5"/>
  <c r="K17" i="5" s="1"/>
  <c r="L17" i="5" s="1"/>
  <c r="M17" i="5" s="1"/>
  <c r="H17" i="5"/>
  <c r="G17" i="5"/>
  <c r="M2" i="5"/>
  <c r="L2" i="5"/>
  <c r="K2" i="5"/>
  <c r="I2" i="5"/>
  <c r="Z5" i="7"/>
  <c r="Z30" i="7" s="1"/>
  <c r="W5" i="7"/>
  <c r="T5" i="7"/>
  <c r="Q15" i="7"/>
  <c r="M18" i="5"/>
  <c r="AL31" i="9"/>
  <c r="AI31" i="9"/>
  <c r="AF31" i="9"/>
  <c r="AC31" i="9"/>
  <c r="AL29" i="6"/>
  <c r="AI29" i="6"/>
  <c r="AF29" i="6"/>
  <c r="AC29" i="6"/>
  <c r="Z29" i="6"/>
  <c r="AL29" i="8"/>
  <c r="AI29" i="8"/>
  <c r="AF29" i="8"/>
  <c r="AC29" i="8"/>
  <c r="Z29" i="8"/>
  <c r="AL29" i="14"/>
  <c r="AI29" i="14"/>
  <c r="AF29" i="14"/>
  <c r="AC29" i="14"/>
  <c r="AC30" i="7"/>
  <c r="AF30" i="7"/>
  <c r="AI30" i="7"/>
  <c r="AL30" i="7"/>
  <c r="J2" i="5"/>
  <c r="L18" i="5"/>
  <c r="K18" i="5"/>
  <c r="J18" i="5"/>
  <c r="I18" i="5"/>
  <c r="H2" i="5"/>
  <c r="M12" i="5" l="1"/>
  <c r="M14" i="5" s="1"/>
  <c r="L12" i="5"/>
  <c r="L14" i="5" s="1"/>
  <c r="J12" i="5"/>
  <c r="J14" i="5" s="1"/>
  <c r="K12" i="5"/>
  <c r="K14" i="5" s="1"/>
  <c r="D12" i="5"/>
  <c r="N9" i="8" l="1"/>
  <c r="Q5" i="14"/>
  <c r="N11" i="14"/>
  <c r="Q4" i="14"/>
  <c r="N7" i="14"/>
  <c r="K15" i="9"/>
  <c r="Z5" i="9"/>
  <c r="Z31" i="9" s="1"/>
  <c r="W5" i="9"/>
  <c r="T5" i="9"/>
  <c r="Q4" i="9"/>
  <c r="N5" i="9"/>
  <c r="K9" i="9"/>
  <c r="N5" i="6"/>
  <c r="K7" i="6"/>
  <c r="K32" i="8"/>
  <c r="N4" i="8"/>
  <c r="K29" i="8"/>
  <c r="K4" i="14" l="1"/>
  <c r="H4" i="14"/>
  <c r="K28" i="7"/>
  <c r="N7" i="7"/>
  <c r="K22" i="7"/>
  <c r="K14" i="7" l="1"/>
  <c r="K43" i="7" s="1"/>
  <c r="K7" i="9" l="1"/>
  <c r="H17" i="9"/>
  <c r="K4" i="8" l="1"/>
  <c r="H27" i="8"/>
  <c r="H15" i="8"/>
  <c r="K5" i="8"/>
  <c r="H13" i="8"/>
  <c r="K6" i="6" l="1"/>
  <c r="H8" i="6"/>
  <c r="E25" i="6"/>
  <c r="D24" i="5"/>
  <c r="F24" i="5" s="1"/>
  <c r="G24" i="5" s="1"/>
  <c r="H24" i="5" s="1"/>
  <c r="I24" i="5" s="1"/>
  <c r="C25" i="5"/>
  <c r="D25" i="5" s="1"/>
  <c r="E25" i="5" s="1"/>
  <c r="G25" i="5" s="1"/>
  <c r="H25" i="5" s="1"/>
  <c r="I25" i="5" s="1"/>
  <c r="J25" i="5" s="1"/>
  <c r="K25" i="5" s="1"/>
  <c r="L25" i="5" s="1"/>
  <c r="M25" i="5" s="1"/>
  <c r="H18" i="5"/>
  <c r="G18" i="5"/>
  <c r="W31" i="9"/>
  <c r="W29" i="6"/>
  <c r="W29" i="8"/>
  <c r="W30" i="7"/>
  <c r="K5" i="9"/>
  <c r="E6" i="9"/>
  <c r="H5" i="9"/>
  <c r="J24" i="5" l="1"/>
  <c r="H7" i="6"/>
  <c r="E17" i="6"/>
  <c r="K24" i="5" l="1"/>
  <c r="H8" i="8"/>
  <c r="E19" i="8"/>
  <c r="H7" i="8"/>
  <c r="E3" i="8"/>
  <c r="T30" i="7"/>
  <c r="T4" i="8"/>
  <c r="T29" i="8" s="1"/>
  <c r="T29" i="6"/>
  <c r="T31" i="9"/>
  <c r="Q31" i="9"/>
  <c r="L24" i="5" l="1"/>
  <c r="K6" i="9"/>
  <c r="H6" i="9"/>
  <c r="E7" i="9"/>
  <c r="M24" i="5" l="1"/>
  <c r="F19" i="5"/>
  <c r="G19" i="5" l="1"/>
  <c r="H6" i="8"/>
  <c r="H5" i="8"/>
  <c r="Q29" i="6"/>
  <c r="Z3" i="14"/>
  <c r="Z29" i="14" s="1"/>
  <c r="I12" i="5" s="1"/>
  <c r="I14" i="5" s="1"/>
  <c r="W3" i="14"/>
  <c r="W29" i="14" s="1"/>
  <c r="T3" i="14"/>
  <c r="T29" i="14" s="1"/>
  <c r="G12" i="5" s="1"/>
  <c r="G14" i="5" s="1"/>
  <c r="Q3" i="14"/>
  <c r="Q29" i="14" s="1"/>
  <c r="N3" i="14"/>
  <c r="K3" i="14"/>
  <c r="H3" i="14"/>
  <c r="E3" i="14"/>
  <c r="H12" i="5" l="1"/>
  <c r="H14" i="5" s="1"/>
  <c r="G20" i="5"/>
  <c r="H19" i="5"/>
  <c r="K4" i="6"/>
  <c r="H4" i="6"/>
  <c r="E4" i="6"/>
  <c r="H20" i="5" l="1"/>
  <c r="I19" i="5"/>
  <c r="E6" i="8"/>
  <c r="E5" i="8"/>
  <c r="N29" i="6"/>
  <c r="K29" i="6"/>
  <c r="E7" i="7"/>
  <c r="Q3" i="8"/>
  <c r="Q29" i="8" s="1"/>
  <c r="N3" i="8"/>
  <c r="K3" i="8"/>
  <c r="H4" i="8"/>
  <c r="E4" i="8"/>
  <c r="J19" i="5" l="1"/>
  <c r="I20" i="5"/>
  <c r="K19" i="5" l="1"/>
  <c r="J20" i="5"/>
  <c r="L19" i="5" l="1"/>
  <c r="K20" i="5"/>
  <c r="M19" i="5" l="1"/>
  <c r="M20" i="5" s="1"/>
  <c r="L20" i="5"/>
  <c r="N31" i="9" l="1"/>
  <c r="K31" i="9"/>
  <c r="H31" i="9"/>
  <c r="E31" i="9"/>
  <c r="N29" i="14"/>
  <c r="K29" i="14"/>
  <c r="H29" i="14"/>
  <c r="E29" i="14"/>
  <c r="N29" i="8"/>
  <c r="K36" i="8"/>
  <c r="H29" i="8"/>
  <c r="E29" i="8"/>
  <c r="Q30" i="7"/>
  <c r="N30" i="7"/>
  <c r="H30" i="7"/>
  <c r="H5" i="6"/>
  <c r="H29" i="6" s="1"/>
  <c r="E5" i="6"/>
  <c r="E29" i="6" s="1"/>
  <c r="F20" i="5" l="1"/>
  <c r="E20" i="5"/>
  <c r="D20" i="5"/>
  <c r="C20" i="5"/>
  <c r="E30" i="7" l="1"/>
  <c r="B20" i="5" s="1"/>
  <c r="B13" i="14" l="1"/>
  <c r="B16" i="14" s="1"/>
  <c r="G28" i="5" l="1"/>
  <c r="H28" i="5" s="1"/>
  <c r="I28" i="5" s="1"/>
  <c r="J28" i="5" s="1"/>
  <c r="K28" i="5" s="1"/>
  <c r="L28" i="5" s="1"/>
  <c r="M28" i="5" s="1"/>
  <c r="F1" i="14" l="1"/>
  <c r="I1" i="14" s="1"/>
  <c r="L1" i="14" s="1"/>
  <c r="O1" i="14" s="1"/>
  <c r="R1" i="14" s="1"/>
  <c r="U1" i="14" s="1"/>
  <c r="X1" i="14" s="1"/>
  <c r="AA1" i="14" s="1"/>
  <c r="AD1" i="14" s="1"/>
  <c r="AG1" i="14" s="1"/>
  <c r="AJ1" i="14" s="1"/>
  <c r="C27" i="5" l="1"/>
  <c r="G27" i="5" s="1"/>
  <c r="H27" i="5" s="1"/>
  <c r="I27" i="5" s="1"/>
  <c r="J27" i="5" s="1"/>
  <c r="K27" i="5" s="1"/>
  <c r="L27" i="5" s="1"/>
  <c r="M27" i="5" s="1"/>
  <c r="B13" i="6" l="1"/>
  <c r="B17" i="6" l="1"/>
  <c r="B13" i="9"/>
  <c r="B16" i="9" s="1"/>
  <c r="B13" i="8"/>
  <c r="B13" i="7"/>
  <c r="B16" i="7" s="1"/>
  <c r="F1" i="6"/>
  <c r="I1" i="6" s="1"/>
  <c r="L1" i="6" s="1"/>
  <c r="O1" i="6" s="1"/>
  <c r="R1" i="6" s="1"/>
  <c r="U1" i="6" s="1"/>
  <c r="X1" i="6" s="1"/>
  <c r="AA1" i="6" s="1"/>
  <c r="AD1" i="6" s="1"/>
  <c r="AG1" i="6" s="1"/>
  <c r="AJ1" i="6" s="1"/>
  <c r="C1" i="5"/>
  <c r="D1" i="5" s="1"/>
  <c r="E1" i="5" s="1"/>
  <c r="F1" i="5" s="1"/>
  <c r="G1" i="5" s="1"/>
  <c r="H1" i="5" s="1"/>
  <c r="I1" i="5" s="1"/>
  <c r="J1" i="5" s="1"/>
  <c r="K1" i="5" s="1"/>
  <c r="L1" i="5" s="1"/>
  <c r="M1" i="5" s="1"/>
  <c r="B22" i="5" l="1"/>
  <c r="D26" i="5" l="1"/>
  <c r="C22" i="5"/>
  <c r="E26" i="5" l="1"/>
  <c r="D22" i="5"/>
  <c r="E22" i="5" l="1"/>
  <c r="G26" i="5" l="1"/>
  <c r="F22" i="5"/>
  <c r="G22" i="5" l="1"/>
  <c r="H26" i="5"/>
  <c r="H22" i="5" l="1"/>
  <c r="I26" i="5"/>
  <c r="B21" i="5"/>
  <c r="J26" i="5" l="1"/>
  <c r="I22" i="5"/>
  <c r="B29" i="5"/>
  <c r="C21" i="5"/>
  <c r="K26" i="5" l="1"/>
  <c r="J22" i="5"/>
  <c r="C29" i="5"/>
  <c r="D21" i="5"/>
  <c r="L26" i="5" l="1"/>
  <c r="K22" i="5"/>
  <c r="E21" i="5"/>
  <c r="D29" i="5"/>
  <c r="M26" i="5" l="1"/>
  <c r="M22" i="5" s="1"/>
  <c r="L22" i="5"/>
  <c r="E29" i="5"/>
  <c r="F21" i="5"/>
  <c r="C3" i="7"/>
  <c r="F1" i="7"/>
  <c r="C23" i="8"/>
  <c r="F1" i="8"/>
  <c r="G4" i="5" l="1"/>
  <c r="G21" i="5" s="1"/>
  <c r="F29" i="5"/>
  <c r="I1" i="8"/>
  <c r="F3" i="8"/>
  <c r="I1" i="7"/>
  <c r="F3" i="7"/>
  <c r="G29" i="5" l="1"/>
  <c r="H4" i="5"/>
  <c r="H21" i="5" s="1"/>
  <c r="I3" i="7"/>
  <c r="L1" i="7"/>
  <c r="I31" i="8"/>
  <c r="L1" i="8"/>
  <c r="H29" i="5" l="1"/>
  <c r="I4" i="5"/>
  <c r="I21" i="5" s="1"/>
  <c r="L18" i="8"/>
  <c r="O1" i="8"/>
  <c r="L3" i="7"/>
  <c r="O1" i="7"/>
  <c r="J4" i="5" l="1"/>
  <c r="J21" i="5" s="1"/>
  <c r="I29" i="5"/>
  <c r="O15" i="8"/>
  <c r="R1" i="8"/>
  <c r="O17" i="7"/>
  <c r="R1" i="7"/>
  <c r="F1" i="9"/>
  <c r="C3" i="9"/>
  <c r="K4" i="5" l="1"/>
  <c r="K21" i="5" s="1"/>
  <c r="J29" i="5"/>
  <c r="R3" i="8"/>
  <c r="U1" i="8"/>
  <c r="R3" i="7"/>
  <c r="U1" i="7"/>
  <c r="I1" i="9"/>
  <c r="F3" i="9"/>
  <c r="U3" i="8" l="1"/>
  <c r="X1" i="8"/>
  <c r="U3" i="7"/>
  <c r="X1" i="7"/>
  <c r="L4" i="5"/>
  <c r="L21" i="5" s="1"/>
  <c r="K29" i="5"/>
  <c r="I3" i="9"/>
  <c r="L1" i="9"/>
  <c r="X3" i="7" l="1"/>
  <c r="AA1" i="7"/>
  <c r="X3" i="8"/>
  <c r="AA1" i="8"/>
  <c r="L29" i="5"/>
  <c r="M4" i="5"/>
  <c r="M21" i="5" s="1"/>
  <c r="M29" i="5" s="1"/>
  <c r="L3" i="9"/>
  <c r="O1" i="9"/>
  <c r="AA3" i="8" l="1"/>
  <c r="AD1" i="8"/>
  <c r="AD1" i="7"/>
  <c r="AA3" i="7"/>
  <c r="O27" i="9"/>
  <c r="R1" i="9"/>
  <c r="AD3" i="7" l="1"/>
  <c r="AG1" i="7"/>
  <c r="AG1" i="8"/>
  <c r="AD3" i="8"/>
  <c r="U1" i="9"/>
  <c r="R3" i="9"/>
  <c r="AG3" i="8" l="1"/>
  <c r="AJ1" i="8"/>
  <c r="AJ3" i="8" s="1"/>
  <c r="AG3" i="7"/>
  <c r="AJ1" i="7"/>
  <c r="AJ3" i="7" s="1"/>
  <c r="U3" i="9"/>
  <c r="X1" i="9"/>
  <c r="X3" i="9" l="1"/>
  <c r="AA1" i="9"/>
  <c r="AA3" i="9" l="1"/>
  <c r="AD1" i="9"/>
  <c r="AD3" i="9" l="1"/>
  <c r="AG1" i="9"/>
  <c r="AG3" i="9" l="1"/>
  <c r="AJ1" i="9"/>
  <c r="AJ3" i="9" s="1"/>
</calcChain>
</file>

<file path=xl/sharedStrings.xml><?xml version="1.0" encoding="utf-8"?>
<sst xmlns="http://schemas.openxmlformats.org/spreadsheetml/2006/main" count="828" uniqueCount="345">
  <si>
    <t>Valor</t>
  </si>
  <si>
    <t>SESC</t>
  </si>
  <si>
    <t>Ingles</t>
  </si>
  <si>
    <t>Data de Atualização:</t>
  </si>
  <si>
    <t>Saldo Atual:</t>
  </si>
  <si>
    <t xml:space="preserve">Débitos </t>
  </si>
  <si>
    <t>Salário</t>
  </si>
  <si>
    <t>Juros Ch Especial</t>
  </si>
  <si>
    <t>Saldo inicio mês</t>
  </si>
  <si>
    <t>Emprestimo BB</t>
  </si>
  <si>
    <t>Emprestimo REAL</t>
  </si>
  <si>
    <t>Poupança - Rogério</t>
  </si>
  <si>
    <t>Condomínio</t>
  </si>
  <si>
    <t>bb preve</t>
  </si>
  <si>
    <t>Casa Bsb</t>
  </si>
  <si>
    <t>Cartão</t>
  </si>
  <si>
    <t>Cartão - previsão</t>
  </si>
  <si>
    <t>Investimento</t>
  </si>
  <si>
    <t xml:space="preserve">Pagamentos </t>
  </si>
  <si>
    <t>Total</t>
  </si>
  <si>
    <t>Saldo Final do Mês</t>
  </si>
  <si>
    <t>Previdência Privada</t>
  </si>
  <si>
    <t>Aplicações</t>
  </si>
  <si>
    <t>Item</t>
  </si>
  <si>
    <t>Data</t>
  </si>
  <si>
    <t>Descrição</t>
  </si>
  <si>
    <t>Brasília</t>
  </si>
  <si>
    <t>Caldas</t>
  </si>
  <si>
    <t>Capitalização</t>
  </si>
  <si>
    <t>Seguro</t>
  </si>
  <si>
    <t>Emprestimo</t>
  </si>
  <si>
    <t>Posto</t>
  </si>
  <si>
    <t>TED</t>
  </si>
  <si>
    <t>Drogaria</t>
  </si>
  <si>
    <t>Tarifa de conta</t>
  </si>
  <si>
    <t>Bonanza</t>
  </si>
  <si>
    <t>Extra</t>
  </si>
  <si>
    <t>Saldo</t>
  </si>
  <si>
    <t>Drogasil</t>
  </si>
  <si>
    <t>Aplicação</t>
  </si>
  <si>
    <t>Transferir</t>
  </si>
  <si>
    <t xml:space="preserve">Descrição </t>
  </si>
  <si>
    <t> PROTECAO OURO</t>
  </si>
  <si>
    <t xml:space="preserve">Cartão </t>
  </si>
  <si>
    <t>Agropet</t>
  </si>
  <si>
    <t>Mensalidade</t>
  </si>
  <si>
    <t>Jeriva</t>
  </si>
  <si>
    <t>Seu joaca</t>
  </si>
  <si>
    <t>Entre trevos</t>
  </si>
  <si>
    <t>Poupança - Rogério(96)</t>
  </si>
  <si>
    <t>Poupança - Rogério (51)</t>
  </si>
  <si>
    <t>Atendelar</t>
  </si>
  <si>
    <t>Dia a dia</t>
  </si>
  <si>
    <t>Outros (NADART) / Ingles</t>
  </si>
  <si>
    <t>Somatorio verde</t>
  </si>
  <si>
    <t>Castelo forte</t>
  </si>
  <si>
    <t>Cartão Santander</t>
  </si>
  <si>
    <t>Anuidade (12/12)</t>
  </si>
  <si>
    <t>CDI</t>
  </si>
  <si>
    <t>Santander</t>
  </si>
  <si>
    <t>Advogado - Incorporação</t>
  </si>
  <si>
    <t>Estacionamento</t>
  </si>
  <si>
    <t>Mercado</t>
  </si>
  <si>
    <t>Sorvete</t>
  </si>
  <si>
    <t>Belavia</t>
  </si>
  <si>
    <t>Novo espaço</t>
  </si>
  <si>
    <t>XP Investimentos</t>
  </si>
  <si>
    <t>Gela guela</t>
  </si>
  <si>
    <t>Ligeirinho</t>
  </si>
  <si>
    <t>Drogacenter</t>
  </si>
  <si>
    <t>Pizza</t>
  </si>
  <si>
    <t>Belissima</t>
  </si>
  <si>
    <t>Padaria</t>
  </si>
  <si>
    <t>Complementares</t>
  </si>
  <si>
    <t>Outros (IPTU/IPVA/Seguro/Saude)</t>
  </si>
  <si>
    <t>Casa do adubo</t>
  </si>
  <si>
    <t>Tassarinha</t>
  </si>
  <si>
    <t>Kaely</t>
  </si>
  <si>
    <t>Burguer</t>
  </si>
  <si>
    <t>Uber</t>
  </si>
  <si>
    <t>Lanche</t>
  </si>
  <si>
    <t>Novo Espaço</t>
  </si>
  <si>
    <t>D. Xepa</t>
  </si>
  <si>
    <t>Seguro Tiggo (9/10)</t>
  </si>
  <si>
    <t>Seguro Tiggo (10/10)</t>
  </si>
  <si>
    <t>Franquia Carro Tiggo (8/12)</t>
  </si>
  <si>
    <t>Franquia Carro Tiggo (9/12)</t>
  </si>
  <si>
    <t>Franquia Carro Tiggo (10/12)</t>
  </si>
  <si>
    <t>Franquia Carro Tiggo (11/12)</t>
  </si>
  <si>
    <t>Franquia Carro Tiggo (12/12)</t>
  </si>
  <si>
    <t>Ultrabox</t>
  </si>
  <si>
    <t>Almoço</t>
  </si>
  <si>
    <t>Amazon</t>
  </si>
  <si>
    <t>Venda</t>
  </si>
  <si>
    <t>Sesc</t>
  </si>
  <si>
    <t>Japão</t>
  </si>
  <si>
    <t>Chocomilk</t>
  </si>
  <si>
    <t>Assai</t>
  </si>
  <si>
    <t>Village</t>
  </si>
  <si>
    <t>Odonto Correios</t>
  </si>
  <si>
    <t>Pastel</t>
  </si>
  <si>
    <t>Joaca</t>
  </si>
  <si>
    <t>Cascol</t>
  </si>
  <si>
    <t>Eu amo pastel</t>
  </si>
  <si>
    <t>Japao</t>
  </si>
  <si>
    <t>Google</t>
  </si>
  <si>
    <t>Casa de cachorro</t>
  </si>
  <si>
    <t>TAP - Tirza (9/9)</t>
  </si>
  <si>
    <t>TAP - Tirza (8/9)</t>
  </si>
  <si>
    <t>TAP - Tirza (7/9)</t>
  </si>
  <si>
    <t>TAP - Tirza (6/9)</t>
  </si>
  <si>
    <t>TAP - Tirza (5/9)</t>
  </si>
  <si>
    <t>Home Ceel(4/4)</t>
  </si>
  <si>
    <t>AP - Ana (4/4)</t>
  </si>
  <si>
    <t>TAP - Rogerio (4/4)</t>
  </si>
  <si>
    <t>Debora</t>
  </si>
  <si>
    <t>Imperio bombas (6/6)</t>
  </si>
  <si>
    <t>Imperio bombas (5/6)</t>
  </si>
  <si>
    <t>Imperio bombas (4/6)</t>
  </si>
  <si>
    <t>Americanas</t>
  </si>
  <si>
    <t>Pirscila</t>
  </si>
  <si>
    <t>D.Xepa</t>
  </si>
  <si>
    <t>Cafeteria</t>
  </si>
  <si>
    <t>Seguro Kicks(6/10)</t>
  </si>
  <si>
    <t>Seguro Kicks(5/10)</t>
  </si>
  <si>
    <t>Seguro Kicks(4/10)</t>
  </si>
  <si>
    <t>Seguro Kicks(3/10)</t>
  </si>
  <si>
    <t>Seguro Kicks(10/10)</t>
  </si>
  <si>
    <t>Seguro Kicks(9/10)</t>
  </si>
  <si>
    <t>Seguro Kicks(8/10)</t>
  </si>
  <si>
    <t>Seguro Kicks(7/10)</t>
  </si>
  <si>
    <t>Hote lromenia</t>
  </si>
  <si>
    <t>Loterica</t>
  </si>
  <si>
    <t>Vanessa</t>
  </si>
  <si>
    <t>Shoope Gatoeria (1/2)</t>
  </si>
  <si>
    <t>Decolar Maceio (4/4)</t>
  </si>
  <si>
    <t>Decolar Maceio (3/4)</t>
  </si>
  <si>
    <t>Decolar Maceio (2/4)</t>
  </si>
  <si>
    <t>Localiza</t>
  </si>
  <si>
    <t>Castelo forte (4/4)</t>
  </si>
  <si>
    <t>Castelo forte (3/4)</t>
  </si>
  <si>
    <t>Castelo forte (2/4)</t>
  </si>
  <si>
    <t>Armarinho</t>
  </si>
  <si>
    <t>Xeus</t>
  </si>
  <si>
    <t>Acai</t>
  </si>
  <si>
    <t>Leroy Merlim</t>
  </si>
  <si>
    <t>Debora albes</t>
  </si>
  <si>
    <t>Levmais</t>
  </si>
  <si>
    <t>Weley</t>
  </si>
  <si>
    <t>Mesa Shoope (1/2)</t>
  </si>
  <si>
    <t>Amo pastel</t>
  </si>
  <si>
    <t>Na vendinha</t>
  </si>
  <si>
    <t>Drogasil (1/2)</t>
  </si>
  <si>
    <t>Restarurante</t>
  </si>
  <si>
    <t>Japao (2/2)</t>
  </si>
  <si>
    <t>Club Diamond (8/8)</t>
  </si>
  <si>
    <t>Club Diamond (7/8)</t>
  </si>
  <si>
    <t>Club Diamond (6/8)</t>
  </si>
  <si>
    <t>Club Diamond (5/8)</t>
  </si>
  <si>
    <t>Club Diamond (4/8)</t>
  </si>
  <si>
    <t>Club Diamond (3/8)</t>
  </si>
  <si>
    <t>Festa</t>
  </si>
  <si>
    <t>Supera food</t>
  </si>
  <si>
    <t>Monica</t>
  </si>
  <si>
    <t>Outback</t>
  </si>
  <si>
    <t>Giraffa</t>
  </si>
  <si>
    <t>(japao 1/2)</t>
  </si>
  <si>
    <t>(Japao 1/2) Material Tamila</t>
  </si>
  <si>
    <t>Eletrica</t>
  </si>
  <si>
    <t>Fazendinha</t>
  </si>
  <si>
    <t>Romao</t>
  </si>
  <si>
    <t>Drogaria(1/3)</t>
  </si>
  <si>
    <t>Drogaria(3/3)</t>
  </si>
  <si>
    <t>Drogaria(2/3)</t>
  </si>
  <si>
    <t>Aero</t>
  </si>
  <si>
    <t>Simone caldas</t>
  </si>
  <si>
    <t>Dalac</t>
  </si>
  <si>
    <t>Compra caldas</t>
  </si>
  <si>
    <t>Boticario (1/2)</t>
  </si>
  <si>
    <t>Boticario (2/2)</t>
  </si>
  <si>
    <t>D. Bere (2/2)</t>
  </si>
  <si>
    <t>D. Bere (1/2)</t>
  </si>
  <si>
    <t>Feira do luar</t>
  </si>
  <si>
    <t>Ivan cabeleleiro</t>
  </si>
  <si>
    <t>Dragaria</t>
  </si>
  <si>
    <t>Mega cartuchos</t>
  </si>
  <si>
    <t>Coffe</t>
  </si>
  <si>
    <t>Decathlon (1/2)</t>
  </si>
  <si>
    <t>Decathlon (2/2)</t>
  </si>
  <si>
    <t>Mercado livre *lampadas</t>
  </si>
  <si>
    <t>Almoco</t>
  </si>
  <si>
    <t>Mercado Barra</t>
  </si>
  <si>
    <t>Marechal</t>
  </si>
  <si>
    <t>Camila Bastos</t>
  </si>
  <si>
    <t>Delicias da barra</t>
  </si>
  <si>
    <t>Hudson</t>
  </si>
  <si>
    <t>Case mania(1/2)</t>
  </si>
  <si>
    <t>Casa do pao</t>
  </si>
  <si>
    <t>Flor do nordeste</t>
  </si>
  <si>
    <t>Praia</t>
  </si>
  <si>
    <t>Praia -0 luciano</t>
  </si>
  <si>
    <t>Barrada da vera</t>
  </si>
  <si>
    <t>Acaraje socorro</t>
  </si>
  <si>
    <t>Flip turismo</t>
  </si>
  <si>
    <t>Ilha do paraiso</t>
  </si>
  <si>
    <t>Unicompra</t>
  </si>
  <si>
    <t>Restaurante tropical</t>
  </si>
  <si>
    <t>Stone</t>
  </si>
  <si>
    <t>C&amp;A</t>
  </si>
  <si>
    <t>Pirilampo</t>
  </si>
  <si>
    <t>Barraca da vera</t>
  </si>
  <si>
    <t>Bruna</t>
  </si>
  <si>
    <t>Villa niquim</t>
  </si>
  <si>
    <t>Cesta</t>
  </si>
  <si>
    <t>Arly</t>
  </si>
  <si>
    <t>Embalagens avenida</t>
  </si>
  <si>
    <t>Paris joias (1/2)</t>
  </si>
  <si>
    <t>Paris joias (2/2)</t>
  </si>
  <si>
    <t>Correios</t>
  </si>
  <si>
    <t>ABBA</t>
  </si>
  <si>
    <t>Gaviao</t>
  </si>
  <si>
    <t>Convert (1/2)</t>
  </si>
  <si>
    <t>Convert (2/2)</t>
  </si>
  <si>
    <t>Caju limão</t>
  </si>
  <si>
    <t>Home cell (1/6)</t>
  </si>
  <si>
    <t>Home cell (6/6)</t>
  </si>
  <si>
    <t>Home cell (5/6)</t>
  </si>
  <si>
    <t>Home cell (4/6)</t>
  </si>
  <si>
    <t>Home cell (3/6)</t>
  </si>
  <si>
    <t>Home cell (2/6)</t>
  </si>
  <si>
    <t>DMCell(1/3)</t>
  </si>
  <si>
    <t>DMCell(3/3)</t>
  </si>
  <si>
    <t>DMCell(2/3)</t>
  </si>
  <si>
    <t>Ifoof</t>
  </si>
  <si>
    <t>Sabor cerrado</t>
  </si>
  <si>
    <t>Acai Point</t>
  </si>
  <si>
    <t>Preco único</t>
  </si>
  <si>
    <t>Corte</t>
  </si>
  <si>
    <t>Carro de boi</t>
  </si>
  <si>
    <t>Posto Calcas</t>
  </si>
  <si>
    <t>Otto Glasses (1/3)</t>
  </si>
  <si>
    <t>Otto Glasses (3/3)</t>
  </si>
  <si>
    <t>Otto Glasses (2/3)</t>
  </si>
  <si>
    <t>Leroy merlim</t>
  </si>
  <si>
    <t>Hoopa fast food</t>
  </si>
  <si>
    <t>comercio</t>
  </si>
  <si>
    <t>Ygor</t>
  </si>
  <si>
    <t>Cacique</t>
  </si>
  <si>
    <t>Brasal</t>
  </si>
  <si>
    <t>casa de cachorro</t>
  </si>
  <si>
    <t>Infratech</t>
  </si>
  <si>
    <t>Tche picanha</t>
  </si>
  <si>
    <t>Rango de lei</t>
  </si>
  <si>
    <t>Da roça</t>
  </si>
  <si>
    <t>Pelicula celular</t>
  </si>
  <si>
    <t>King don</t>
  </si>
  <si>
    <t>Cantinho do caldo</t>
  </si>
  <si>
    <t>Leonidas</t>
  </si>
  <si>
    <t>Liliany</t>
  </si>
  <si>
    <t>Bellavia</t>
  </si>
  <si>
    <t>Temperus restaurante</t>
  </si>
  <si>
    <t>Vips bar</t>
  </si>
  <si>
    <t>Golfo importação</t>
  </si>
  <si>
    <t>Eletrica volts</t>
  </si>
  <si>
    <t>France Car (1/4)</t>
  </si>
  <si>
    <t>France Car (4/4)</t>
  </si>
  <si>
    <t>France Car (3/4)</t>
  </si>
  <si>
    <t>France Car (2/4)</t>
  </si>
  <si>
    <t>Animais pet</t>
  </si>
  <si>
    <t>Kalunga</t>
  </si>
  <si>
    <t>Cleiton Wagner</t>
  </si>
  <si>
    <t>Restaurante Café da Roça</t>
  </si>
  <si>
    <t>Vila Carioca</t>
  </si>
  <si>
    <t>Irmaõ abe</t>
  </si>
  <si>
    <t>Casa das variedades</t>
  </si>
  <si>
    <t>Grelha</t>
  </si>
  <si>
    <t>Ilhas berlengas</t>
  </si>
  <si>
    <t>Fonte Note</t>
  </si>
  <si>
    <t>Patio</t>
  </si>
  <si>
    <t>Boticario</t>
  </si>
  <si>
    <t>Torteria</t>
  </si>
  <si>
    <t>Gate store</t>
  </si>
  <si>
    <t>Relogio</t>
  </si>
  <si>
    <t>Alm,oço</t>
  </si>
  <si>
    <t>DR. Anmal</t>
  </si>
  <si>
    <t>Pastelaira</t>
  </si>
  <si>
    <t>Hamburguer</t>
  </si>
  <si>
    <t>Informal</t>
  </si>
  <si>
    <t>Laser (mercadolivre)</t>
  </si>
  <si>
    <t>Marmita</t>
  </si>
  <si>
    <t>Echo pop</t>
  </si>
  <si>
    <t>HBO MAX (7/12)</t>
  </si>
  <si>
    <t>HBO MAX (12/12)</t>
  </si>
  <si>
    <t>HBO MAX (11/12)</t>
  </si>
  <si>
    <t>HBO MAX (10/12)</t>
  </si>
  <si>
    <t>HBO MAX (9/12)</t>
  </si>
  <si>
    <t>HBO MAX (8/12)</t>
  </si>
  <si>
    <t>Simone</t>
  </si>
  <si>
    <t>Portas Caldas (1/3)</t>
  </si>
  <si>
    <t>Portas Caldas (3/3)</t>
  </si>
  <si>
    <t>Portas Caldas (2/3)</t>
  </si>
  <si>
    <t>Lima Vill</t>
  </si>
  <si>
    <t>Loja por do sol</t>
  </si>
  <si>
    <t>Tassara</t>
  </si>
  <si>
    <t>Ivan</t>
  </si>
  <si>
    <t>Comercial Silva</t>
  </si>
  <si>
    <t>Don albertus</t>
  </si>
  <si>
    <t>Serra</t>
  </si>
  <si>
    <t>Drogaria (1/3)</t>
  </si>
  <si>
    <t>Drogaria (3/3)</t>
  </si>
  <si>
    <t>Drogaria (2/3)</t>
  </si>
  <si>
    <t>Madstain</t>
  </si>
  <si>
    <t>Pets</t>
  </si>
  <si>
    <t>Restaurante</t>
  </si>
  <si>
    <t>Claro (1/12)</t>
  </si>
  <si>
    <t>Claro (7/12)</t>
  </si>
  <si>
    <t>Claro (6/12)</t>
  </si>
  <si>
    <t>Claro (5/12)</t>
  </si>
  <si>
    <t>Claro (4/12)</t>
  </si>
  <si>
    <t>Claro (3/12)</t>
  </si>
  <si>
    <t>Claro (2/12)</t>
  </si>
  <si>
    <t>Claro (12/12)</t>
  </si>
  <si>
    <t>Claro (11/12)</t>
  </si>
  <si>
    <t>Claro (10/12)</t>
  </si>
  <si>
    <t>Claro (9/12)</t>
  </si>
  <si>
    <t>Claro (8/12)</t>
  </si>
  <si>
    <t>Alvaro</t>
  </si>
  <si>
    <t>CBS comercio</t>
  </si>
  <si>
    <t>Claudio</t>
  </si>
  <si>
    <t>Oticas (1/2)</t>
  </si>
  <si>
    <t>Oticas (2/2)</t>
  </si>
  <si>
    <t>GadGlace(1/3)</t>
  </si>
  <si>
    <t>GadGlace(3/3)</t>
  </si>
  <si>
    <t>GadGlace(2/3)</t>
  </si>
  <si>
    <t>uber</t>
  </si>
  <si>
    <t>Cantinho da jo</t>
  </si>
  <si>
    <t>Fontes(1/3)</t>
  </si>
  <si>
    <t>Fontes(2/3)</t>
  </si>
  <si>
    <t>Fontes(3/3)</t>
  </si>
  <si>
    <t>Impressao</t>
  </si>
  <si>
    <t>Goiano</t>
  </si>
  <si>
    <t>CAOA(1/3)</t>
  </si>
  <si>
    <t>CAOA(3/3)</t>
  </si>
  <si>
    <t>CAOA(2/3)</t>
  </si>
  <si>
    <t xml:space="preserve">TNF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</si>
</sst>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\-??_);_(@_)"/>
    <numFmt numFmtId="165" formatCode="_-&quot;R$ &quot;* #,##0.00_-;&quot;-R$ &quot;* #,##0.00_-;_-&quot;R$ &quot;* \-??_-;_-@_-"/>
    <numFmt numFmtId="166" formatCode="m/d/yyyy"/>
    <numFmt numFmtId="167" formatCode="_(* #,##0.00_);_(* \(#,##0.00\);_(* \-??_);_(@_)"/>
    <numFmt numFmtId="168" formatCode="d\-mmm"/>
    <numFmt numFmtId="169" formatCode="&quot;R$ &quot;#,##0.00"/>
    <numFmt numFmtId="170" formatCode="dd/mm/yyyy;@"/>
    <numFmt numFmtId="171" formatCode="mmm\-yy"/>
    <numFmt numFmtId="172" formatCode="mmm/yyyy"/>
    <numFmt numFmtId="173" formatCode="mmmm/yyyy"/>
  </numFmts>
  <fonts count="11" x14ac:knownFonts="1">
    <font>
      <sz val="10"/>
      <name val="Arial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name val="Arial"/>
      <family val="2"/>
    </font>
    <font>
      <sz val="8"/>
      <name val="Arial Narrow"/>
      <family val="2"/>
      <charset val="1"/>
    </font>
    <font>
      <b/>
      <sz val="8"/>
      <name val="Arial Narrow"/>
      <family val="2"/>
      <charset val="1"/>
    </font>
    <font>
      <sz val="10"/>
      <name val="Arial"/>
      <family val="2"/>
    </font>
    <font>
      <sz val="10"/>
      <name val="Arial"/>
      <family val="2"/>
    </font>
    <font>
      <sz val="11"/>
      <color rgb="FF000000"/>
      <name val="Calibri"/>
      <family val="2"/>
      <charset val="1"/>
    </font>
    <font>
      <b/>
      <i/>
      <sz val="10"/>
      <color rgb="FF0000FF"/>
      <name val="Arial"/>
      <family val="2"/>
      <charset val="1"/>
    </font>
    <font>
      <sz val="8"/>
      <color rgb="FF000000"/>
      <name val="Arial Narrow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CFFFF"/>
        <bgColor rgb="FFCCFFFF"/>
      </patternFill>
    </fill>
    <fill>
      <patternFill patternType="solid">
        <fgColor rgb="FFCCFFCC"/>
        <bgColor rgb="FFCCFFFF"/>
      </patternFill>
    </fill>
    <fill>
      <patternFill patternType="solid">
        <fgColor rgb="FFFFCC99"/>
        <bgColor rgb="FFD9D9D9"/>
      </patternFill>
    </fill>
    <fill>
      <patternFill patternType="solid">
        <fgColor rgb="FF99CCFF"/>
        <bgColor rgb="FFBFBFBF"/>
      </patternFill>
    </fill>
    <fill>
      <patternFill patternType="solid">
        <fgColor rgb="FF00FF00"/>
        <bgColor rgb="FF33CCCC"/>
      </patternFill>
    </fill>
    <fill>
      <patternFill patternType="solid">
        <fgColor rgb="FFFFFFFF"/>
        <bgColor rgb="FFEBF1D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EBF1DE"/>
      </patternFill>
    </fill>
    <fill>
      <patternFill patternType="solid">
        <fgColor theme="0" tint="-0.14999847407452621"/>
        <bgColor rgb="FFCCFFFF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6" fillId="0" borderId="0" applyBorder="0" applyProtection="0"/>
    <xf numFmtId="164" fontId="6" fillId="0" borderId="0" applyBorder="0" applyProtection="0"/>
    <xf numFmtId="165" fontId="6" fillId="0" borderId="0" applyBorder="0" applyProtection="0"/>
    <xf numFmtId="0" fontId="8" fillId="0" borderId="0"/>
  </cellStyleXfs>
  <cellXfs count="159">
    <xf numFmtId="0" fontId="0" fillId="0" borderId="0" xfId="0"/>
    <xf numFmtId="164" fontId="0" fillId="0" borderId="0" xfId="0" applyNumberFormat="1"/>
    <xf numFmtId="164" fontId="1" fillId="0" borderId="0" xfId="1" applyFont="1" applyBorder="1" applyProtection="1"/>
    <xf numFmtId="0" fontId="1" fillId="0" borderId="0" xfId="0" applyFon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3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70" fontId="2" fillId="2" borderId="3" xfId="0" applyNumberFormat="1" applyFont="1" applyFill="1" applyBorder="1"/>
    <xf numFmtId="0" fontId="9" fillId="0" borderId="0" xfId="0" applyFont="1"/>
    <xf numFmtId="164" fontId="3" fillId="0" borderId="0" xfId="1" applyFont="1" applyBorder="1" applyProtection="1"/>
    <xf numFmtId="164" fontId="0" fillId="0" borderId="0" xfId="1" applyFont="1" applyBorder="1" applyProtection="1"/>
    <xf numFmtId="0" fontId="2" fillId="2" borderId="1" xfId="0" applyFont="1" applyFill="1" applyBorder="1"/>
    <xf numFmtId="171" fontId="2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/>
    <xf numFmtId="164" fontId="1" fillId="0" borderId="1" xfId="1" applyFont="1" applyBorder="1" applyAlignment="1" applyProtection="1">
      <alignment vertical="center"/>
    </xf>
    <xf numFmtId="164" fontId="0" fillId="0" borderId="1" xfId="1" applyFont="1" applyBorder="1" applyAlignment="1" applyProtection="1">
      <alignment vertical="center"/>
    </xf>
    <xf numFmtId="0" fontId="1" fillId="0" borderId="1" xfId="0" applyFont="1" applyBorder="1"/>
    <xf numFmtId="0" fontId="0" fillId="0" borderId="1" xfId="0" applyBorder="1"/>
    <xf numFmtId="0" fontId="0" fillId="4" borderId="1" xfId="0" applyFill="1" applyBorder="1"/>
    <xf numFmtId="164" fontId="7" fillId="4" borderId="1" xfId="1" applyFont="1" applyFill="1" applyBorder="1" applyAlignment="1" applyProtection="1">
      <alignment vertical="center"/>
    </xf>
    <xf numFmtId="0" fontId="1" fillId="4" borderId="1" xfId="0" applyFont="1" applyFill="1" applyBorder="1"/>
    <xf numFmtId="0" fontId="2" fillId="5" borderId="1" xfId="0" applyFont="1" applyFill="1" applyBorder="1"/>
    <xf numFmtId="169" fontId="2" fillId="5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/>
    <xf numFmtId="164" fontId="2" fillId="6" borderId="1" xfId="1" applyFont="1" applyFill="1" applyBorder="1" applyAlignment="1" applyProtection="1">
      <alignment horizontal="center" vertical="center"/>
    </xf>
    <xf numFmtId="0" fontId="2" fillId="0" borderId="4" xfId="0" applyFont="1" applyBorder="1" applyAlignment="1">
      <alignment horizontal="right"/>
    </xf>
    <xf numFmtId="169" fontId="2" fillId="7" borderId="1" xfId="0" applyNumberFormat="1" applyFont="1" applyFill="1" applyBorder="1" applyAlignment="1">
      <alignment horizontal="center" vertical="center"/>
    </xf>
    <xf numFmtId="169" fontId="2" fillId="2" borderId="1" xfId="0" applyNumberFormat="1" applyFont="1" applyFill="1" applyBorder="1"/>
    <xf numFmtId="0" fontId="2" fillId="2" borderId="1" xfId="0" applyFont="1" applyFill="1" applyBorder="1" applyAlignment="1">
      <alignment horizontal="left"/>
    </xf>
    <xf numFmtId="0" fontId="2" fillId="0" borderId="0" xfId="0" applyFont="1"/>
    <xf numFmtId="165" fontId="0" fillId="0" borderId="0" xfId="0" applyNumberFormat="1"/>
    <xf numFmtId="0" fontId="2" fillId="2" borderId="1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3" borderId="1" xfId="0" applyFont="1" applyFill="1" applyBorder="1"/>
    <xf numFmtId="164" fontId="1" fillId="0" borderId="5" xfId="1" applyFont="1" applyBorder="1" applyProtection="1"/>
    <xf numFmtId="166" fontId="2" fillId="2" borderId="6" xfId="0" applyNumberFormat="1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164" fontId="2" fillId="2" borderId="8" xfId="1" applyFont="1" applyFill="1" applyBorder="1" applyAlignment="1" applyProtection="1">
      <alignment horizontal="center"/>
    </xf>
    <xf numFmtId="164" fontId="0" fillId="0" borderId="5" xfId="1" applyFont="1" applyBorder="1" applyProtection="1"/>
    <xf numFmtId="166" fontId="4" fillId="0" borderId="9" xfId="0" applyNumberFormat="1" applyFont="1" applyBorder="1" applyAlignment="1">
      <alignment horizontal="center"/>
    </xf>
    <xf numFmtId="0" fontId="4" fillId="0" borderId="1" xfId="0" applyFont="1" applyBorder="1"/>
    <xf numFmtId="164" fontId="4" fillId="0" borderId="10" xfId="1" applyFont="1" applyBorder="1" applyProtection="1"/>
    <xf numFmtId="14" fontId="4" fillId="0" borderId="9" xfId="0" applyNumberFormat="1" applyFont="1" applyBorder="1" applyAlignment="1">
      <alignment horizontal="center"/>
    </xf>
    <xf numFmtId="164" fontId="2" fillId="0" borderId="5" xfId="1" applyFont="1" applyBorder="1" applyProtection="1"/>
    <xf numFmtId="166" fontId="4" fillId="0" borderId="2" xfId="0" applyNumberFormat="1" applyFont="1" applyBorder="1" applyAlignment="1">
      <alignment horizontal="center"/>
    </xf>
    <xf numFmtId="0" fontId="4" fillId="0" borderId="11" xfId="0" applyFont="1" applyBorder="1"/>
    <xf numFmtId="164" fontId="4" fillId="0" borderId="12" xfId="1" applyFont="1" applyBorder="1" applyProtection="1"/>
    <xf numFmtId="166" fontId="4" fillId="0" borderId="0" xfId="0" applyNumberFormat="1" applyFont="1" applyAlignment="1">
      <alignment horizontal="center"/>
    </xf>
    <xf numFmtId="0" fontId="4" fillId="0" borderId="0" xfId="0" applyFont="1"/>
    <xf numFmtId="164" fontId="5" fillId="3" borderId="13" xfId="0" applyNumberFormat="1" applyFont="1" applyFill="1" applyBorder="1" applyAlignment="1">
      <alignment horizontal="left"/>
    </xf>
    <xf numFmtId="166" fontId="10" fillId="0" borderId="14" xfId="0" applyNumberFormat="1" applyFont="1" applyBorder="1" applyAlignment="1">
      <alignment horizontal="center" wrapText="1"/>
    </xf>
    <xf numFmtId="0" fontId="10" fillId="0" borderId="1" xfId="0" applyFont="1" applyBorder="1" applyAlignment="1">
      <alignment horizontal="left" wrapText="1"/>
    </xf>
    <xf numFmtId="164" fontId="10" fillId="8" borderId="10" xfId="1" applyFont="1" applyFill="1" applyBorder="1" applyAlignment="1" applyProtection="1">
      <alignment horizontal="right" wrapText="1"/>
    </xf>
    <xf numFmtId="164" fontId="0" fillId="0" borderId="1" xfId="1" applyFont="1" applyBorder="1" applyProtection="1"/>
    <xf numFmtId="0" fontId="2" fillId="2" borderId="15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 indent="1"/>
    </xf>
    <xf numFmtId="0" fontId="10" fillId="0" borderId="7" xfId="0" applyFont="1" applyBorder="1" applyAlignment="1">
      <alignment horizontal="left" wrapText="1"/>
    </xf>
    <xf numFmtId="164" fontId="10" fillId="8" borderId="8" xfId="1" applyFont="1" applyFill="1" applyBorder="1" applyAlignment="1" applyProtection="1">
      <alignment horizontal="right" wrapText="1"/>
    </xf>
    <xf numFmtId="166" fontId="10" fillId="0" borderId="18" xfId="0" applyNumberFormat="1" applyFont="1" applyBorder="1" applyAlignment="1">
      <alignment horizontal="left" wrapText="1"/>
    </xf>
    <xf numFmtId="164" fontId="10" fillId="8" borderId="19" xfId="1" applyFont="1" applyFill="1" applyBorder="1" applyAlignment="1" applyProtection="1">
      <alignment horizontal="right" wrapText="1"/>
    </xf>
    <xf numFmtId="166" fontId="4" fillId="8" borderId="18" xfId="0" applyNumberFormat="1" applyFont="1" applyFill="1" applyBorder="1" applyAlignment="1">
      <alignment horizontal="left" vertical="top" wrapText="1"/>
    </xf>
    <xf numFmtId="164" fontId="2" fillId="0" borderId="1" xfId="0" applyNumberFormat="1" applyFont="1" applyBorder="1"/>
    <xf numFmtId="0" fontId="10" fillId="0" borderId="20" xfId="0" applyFont="1" applyBorder="1" applyAlignment="1">
      <alignment horizontal="left" wrapText="1"/>
    </xf>
    <xf numFmtId="164" fontId="2" fillId="0" borderId="1" xfId="1" applyFont="1" applyBorder="1" applyProtection="1"/>
    <xf numFmtId="166" fontId="10" fillId="0" borderId="9" xfId="0" applyNumberFormat="1" applyFont="1" applyBorder="1" applyAlignment="1">
      <alignment horizontal="left" wrapText="1"/>
    </xf>
    <xf numFmtId="0" fontId="10" fillId="0" borderId="14" xfId="0" applyFont="1" applyBorder="1" applyAlignment="1">
      <alignment horizontal="center" wrapText="1"/>
    </xf>
    <xf numFmtId="166" fontId="10" fillId="0" borderId="21" xfId="0" applyNumberFormat="1" applyFont="1" applyBorder="1" applyAlignment="1">
      <alignment horizontal="center" wrapText="1"/>
    </xf>
    <xf numFmtId="166" fontId="4" fillId="8" borderId="2" xfId="0" applyNumberFormat="1" applyFont="1" applyFill="1" applyBorder="1" applyAlignment="1">
      <alignment horizontal="left" vertical="top" wrapText="1"/>
    </xf>
    <xf numFmtId="164" fontId="10" fillId="8" borderId="12" xfId="1" applyFont="1" applyFill="1" applyBorder="1" applyAlignment="1" applyProtection="1">
      <alignment horizontal="right" wrapText="1"/>
    </xf>
    <xf numFmtId="164" fontId="5" fillId="3" borderId="13" xfId="1" applyFont="1" applyFill="1" applyBorder="1" applyProtection="1"/>
    <xf numFmtId="0" fontId="10" fillId="0" borderId="20" xfId="0" applyFont="1" applyBorder="1" applyAlignment="1">
      <alignment horizontal="left" vertical="center" wrapText="1"/>
    </xf>
    <xf numFmtId="164" fontId="10" fillId="8" borderId="19" xfId="1" applyFont="1" applyFill="1" applyBorder="1" applyAlignment="1" applyProtection="1">
      <alignment horizontal="left" vertical="center" wrapText="1"/>
    </xf>
    <xf numFmtId="166" fontId="10" fillId="0" borderId="18" xfId="0" applyNumberFormat="1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164" fontId="4" fillId="0" borderId="10" xfId="1" applyFont="1" applyBorder="1" applyAlignment="1" applyProtection="1">
      <alignment horizontal="left" vertical="center" wrapText="1"/>
    </xf>
    <xf numFmtId="166" fontId="4" fillId="8" borderId="18" xfId="0" applyNumberFormat="1" applyFont="1" applyFill="1" applyBorder="1" applyAlignment="1">
      <alignment horizontal="left" vertical="center" wrapText="1"/>
    </xf>
    <xf numFmtId="164" fontId="10" fillId="8" borderId="10" xfId="1" applyFont="1" applyFill="1" applyBorder="1" applyAlignment="1" applyProtection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166" fontId="10" fillId="0" borderId="9" xfId="0" applyNumberFormat="1" applyFont="1" applyBorder="1" applyAlignment="1">
      <alignment horizontal="left" vertical="center" wrapText="1"/>
    </xf>
    <xf numFmtId="166" fontId="10" fillId="0" borderId="21" xfId="0" applyNumberFormat="1" applyFont="1" applyBorder="1" applyAlignment="1">
      <alignment horizontal="left" vertical="center" wrapText="1"/>
    </xf>
    <xf numFmtId="166" fontId="4" fillId="8" borderId="2" xfId="0" applyNumberFormat="1" applyFont="1" applyFill="1" applyBorder="1" applyAlignment="1">
      <alignment horizontal="left" vertical="center" wrapText="1"/>
    </xf>
    <xf numFmtId="164" fontId="10" fillId="8" borderId="12" xfId="1" applyFont="1" applyFill="1" applyBorder="1" applyAlignment="1" applyProtection="1">
      <alignment horizontal="left" vertical="center" wrapText="1"/>
    </xf>
    <xf numFmtId="14" fontId="10" fillId="0" borderId="14" xfId="0" applyNumberFormat="1" applyFont="1" applyBorder="1" applyAlignment="1">
      <alignment horizontal="center" wrapText="1"/>
    </xf>
    <xf numFmtId="14" fontId="10" fillId="0" borderId="22" xfId="0" applyNumberFormat="1" applyFont="1" applyBorder="1" applyAlignment="1">
      <alignment horizontal="center" wrapText="1"/>
    </xf>
    <xf numFmtId="14" fontId="10" fillId="0" borderId="14" xfId="0" applyNumberFormat="1" applyFont="1" applyBorder="1" applyAlignment="1">
      <alignment horizontal="left" vertical="center" wrapText="1"/>
    </xf>
    <xf numFmtId="166" fontId="10" fillId="9" borderId="18" xfId="0" applyNumberFormat="1" applyFont="1" applyFill="1" applyBorder="1" applyAlignment="1">
      <alignment horizontal="left" wrapText="1"/>
    </xf>
    <xf numFmtId="166" fontId="4" fillId="10" borderId="18" xfId="0" applyNumberFormat="1" applyFont="1" applyFill="1" applyBorder="1" applyAlignment="1">
      <alignment horizontal="left" vertical="top" wrapText="1"/>
    </xf>
    <xf numFmtId="0" fontId="10" fillId="9" borderId="1" xfId="0" applyFont="1" applyFill="1" applyBorder="1" applyAlignment="1">
      <alignment horizontal="left" wrapText="1"/>
    </xf>
    <xf numFmtId="0" fontId="10" fillId="9" borderId="20" xfId="0" applyFont="1" applyFill="1" applyBorder="1" applyAlignment="1">
      <alignment horizontal="left" wrapText="1"/>
    </xf>
    <xf numFmtId="166" fontId="10" fillId="9" borderId="9" xfId="0" applyNumberFormat="1" applyFont="1" applyFill="1" applyBorder="1" applyAlignment="1">
      <alignment horizontal="left" wrapText="1"/>
    </xf>
    <xf numFmtId="0" fontId="10" fillId="9" borderId="7" xfId="0" applyFont="1" applyFill="1" applyBorder="1" applyAlignment="1">
      <alignment horizontal="left" wrapText="1"/>
    </xf>
    <xf numFmtId="44" fontId="0" fillId="0" borderId="0" xfId="0" applyNumberFormat="1"/>
    <xf numFmtId="166" fontId="4" fillId="10" borderId="18" xfId="0" applyNumberFormat="1" applyFont="1" applyFill="1" applyBorder="1" applyAlignment="1">
      <alignment horizontal="left" vertical="center" wrapText="1"/>
    </xf>
    <xf numFmtId="166" fontId="10" fillId="9" borderId="18" xfId="0" applyNumberFormat="1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166" fontId="10" fillId="9" borderId="9" xfId="0" applyNumberFormat="1" applyFont="1" applyFill="1" applyBorder="1" applyAlignment="1">
      <alignment horizontal="left" vertical="center" wrapText="1"/>
    </xf>
    <xf numFmtId="14" fontId="10" fillId="9" borderId="23" xfId="0" applyNumberFormat="1" applyFont="1" applyFill="1" applyBorder="1" applyAlignment="1">
      <alignment horizontal="center" wrapText="1"/>
    </xf>
    <xf numFmtId="166" fontId="4" fillId="10" borderId="1" xfId="0" applyNumberFormat="1" applyFont="1" applyFill="1" applyBorder="1" applyAlignment="1">
      <alignment horizontal="left" vertical="top" wrapText="1"/>
    </xf>
    <xf numFmtId="14" fontId="10" fillId="9" borderId="22" xfId="0" applyNumberFormat="1" applyFont="1" applyFill="1" applyBorder="1" applyAlignment="1">
      <alignment horizontal="center" wrapText="1"/>
    </xf>
    <xf numFmtId="164" fontId="10" fillId="10" borderId="8" xfId="1" applyFont="1" applyFill="1" applyBorder="1" applyAlignment="1" applyProtection="1">
      <alignment horizontal="right" wrapText="1"/>
    </xf>
    <xf numFmtId="14" fontId="10" fillId="9" borderId="14" xfId="0" applyNumberFormat="1" applyFont="1" applyFill="1" applyBorder="1" applyAlignment="1">
      <alignment horizontal="center" wrapText="1"/>
    </xf>
    <xf numFmtId="164" fontId="10" fillId="10" borderId="10" xfId="1" applyFont="1" applyFill="1" applyBorder="1" applyAlignment="1" applyProtection="1">
      <alignment horizontal="right" wrapText="1"/>
    </xf>
    <xf numFmtId="164" fontId="10" fillId="10" borderId="19" xfId="1" applyFont="1" applyFill="1" applyBorder="1" applyAlignment="1" applyProtection="1">
      <alignment horizontal="right" wrapText="1"/>
    </xf>
    <xf numFmtId="164" fontId="4" fillId="9" borderId="10" xfId="1" applyFont="1" applyFill="1" applyBorder="1" applyProtection="1"/>
    <xf numFmtId="0" fontId="4" fillId="9" borderId="1" xfId="0" applyFont="1" applyFill="1" applyBorder="1"/>
    <xf numFmtId="14" fontId="4" fillId="9" borderId="9" xfId="0" applyNumberFormat="1" applyFont="1" applyFill="1" applyBorder="1" applyAlignment="1">
      <alignment horizontal="center"/>
    </xf>
    <xf numFmtId="14" fontId="10" fillId="9" borderId="14" xfId="0" applyNumberFormat="1" applyFont="1" applyFill="1" applyBorder="1" applyAlignment="1">
      <alignment horizontal="left" vertical="center" wrapText="1"/>
    </xf>
    <xf numFmtId="0" fontId="10" fillId="9" borderId="20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left" vertical="center" wrapText="1"/>
    </xf>
    <xf numFmtId="164" fontId="10" fillId="10" borderId="10" xfId="1" applyFont="1" applyFill="1" applyBorder="1" applyAlignment="1" applyProtection="1">
      <alignment horizontal="left" vertical="center" wrapText="1"/>
    </xf>
    <xf numFmtId="164" fontId="10" fillId="10" borderId="19" xfId="1" applyFont="1" applyFill="1" applyBorder="1" applyAlignment="1" applyProtection="1">
      <alignment horizontal="left" vertical="center" wrapText="1"/>
    </xf>
    <xf numFmtId="164" fontId="4" fillId="9" borderId="10" xfId="1" applyFont="1" applyFill="1" applyBorder="1" applyAlignment="1" applyProtection="1">
      <alignment horizontal="left" vertical="center" wrapText="1"/>
    </xf>
    <xf numFmtId="164" fontId="4" fillId="9" borderId="19" xfId="1" applyFont="1" applyFill="1" applyBorder="1" applyProtection="1"/>
    <xf numFmtId="0" fontId="10" fillId="9" borderId="18" xfId="0" applyFont="1" applyFill="1" applyBorder="1" applyAlignment="1">
      <alignment horizontal="left" wrapText="1"/>
    </xf>
    <xf numFmtId="166" fontId="10" fillId="9" borderId="21" xfId="0" applyNumberFormat="1" applyFont="1" applyFill="1" applyBorder="1" applyAlignment="1">
      <alignment horizontal="center" wrapText="1"/>
    </xf>
    <xf numFmtId="166" fontId="4" fillId="10" borderId="2" xfId="0" applyNumberFormat="1" applyFont="1" applyFill="1" applyBorder="1" applyAlignment="1">
      <alignment horizontal="left" vertical="top" wrapText="1"/>
    </xf>
    <xf numFmtId="164" fontId="10" fillId="10" borderId="12" xfId="1" applyFont="1" applyFill="1" applyBorder="1" applyAlignment="1" applyProtection="1">
      <alignment horizontal="right" wrapText="1"/>
    </xf>
    <xf numFmtId="43" fontId="1" fillId="0" borderId="0" xfId="0" applyNumberFormat="1" applyFont="1"/>
    <xf numFmtId="14" fontId="10" fillId="0" borderId="14" xfId="0" applyNumberFormat="1" applyFont="1" applyBorder="1" applyAlignment="1">
      <alignment horizontal="center" vertical="center" wrapText="1"/>
    </xf>
    <xf numFmtId="14" fontId="10" fillId="9" borderId="14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/>
    <xf numFmtId="164" fontId="0" fillId="9" borderId="1" xfId="1" applyFont="1" applyFill="1" applyBorder="1" applyAlignment="1" applyProtection="1">
      <alignment vertical="center"/>
    </xf>
    <xf numFmtId="0" fontId="10" fillId="0" borderId="18" xfId="0" applyFont="1" applyBorder="1" applyAlignment="1">
      <alignment horizontal="left" wrapText="1"/>
    </xf>
    <xf numFmtId="0" fontId="9" fillId="2" borderId="13" xfId="0" applyFont="1" applyFill="1" applyBorder="1"/>
    <xf numFmtId="166" fontId="4" fillId="10" borderId="7" xfId="0" applyNumberFormat="1" applyFont="1" applyFill="1" applyBorder="1" applyAlignment="1">
      <alignment horizontal="left" vertical="top" wrapText="1"/>
    </xf>
    <xf numFmtId="164" fontId="4" fillId="9" borderId="8" xfId="1" applyFont="1" applyFill="1" applyBorder="1" applyProtection="1"/>
    <xf numFmtId="0" fontId="6" fillId="0" borderId="1" xfId="0" applyFont="1" applyBorder="1"/>
    <xf numFmtId="164" fontId="6" fillId="0" borderId="1" xfId="1" applyBorder="1" applyAlignment="1" applyProtection="1">
      <alignment vertical="center"/>
    </xf>
    <xf numFmtId="166" fontId="4" fillId="10" borderId="9" xfId="0" applyNumberFormat="1" applyFont="1" applyFill="1" applyBorder="1" applyAlignment="1">
      <alignment horizontal="left" vertical="top" wrapText="1"/>
    </xf>
    <xf numFmtId="4" fontId="0" fillId="0" borderId="0" xfId="0" applyNumberFormat="1"/>
    <xf numFmtId="166" fontId="10" fillId="9" borderId="1" xfId="0" applyNumberFormat="1" applyFont="1" applyFill="1" applyBorder="1" applyAlignment="1">
      <alignment horizontal="left" wrapText="1"/>
    </xf>
    <xf numFmtId="166" fontId="10" fillId="0" borderId="21" xfId="0" applyNumberFormat="1" applyFont="1" applyBorder="1" applyAlignment="1">
      <alignment horizontal="center" vertical="center" wrapText="1"/>
    </xf>
    <xf numFmtId="0" fontId="10" fillId="9" borderId="9" xfId="0" applyFont="1" applyFill="1" applyBorder="1" applyAlignment="1">
      <alignment horizontal="left" wrapText="1"/>
    </xf>
    <xf numFmtId="0" fontId="4" fillId="9" borderId="7" xfId="0" applyFont="1" applyFill="1" applyBorder="1"/>
    <xf numFmtId="166" fontId="4" fillId="9" borderId="2" xfId="0" applyNumberFormat="1" applyFont="1" applyFill="1" applyBorder="1" applyAlignment="1">
      <alignment horizontal="center"/>
    </xf>
    <xf numFmtId="0" fontId="4" fillId="9" borderId="11" xfId="0" applyFont="1" applyFill="1" applyBorder="1"/>
    <xf numFmtId="164" fontId="4" fillId="9" borderId="12" xfId="1" applyFont="1" applyFill="1" applyBorder="1" applyProtection="1"/>
    <xf numFmtId="164" fontId="1" fillId="9" borderId="1" xfId="1" applyFont="1" applyFill="1" applyBorder="1" applyAlignment="1" applyProtection="1">
      <alignment vertical="center"/>
    </xf>
    <xf numFmtId="164" fontId="7" fillId="11" borderId="1" xfId="1" applyFont="1" applyFill="1" applyBorder="1" applyAlignment="1" applyProtection="1">
      <alignment vertical="center"/>
    </xf>
    <xf numFmtId="164" fontId="6" fillId="9" borderId="1" xfId="1" applyFill="1" applyBorder="1" applyAlignment="1" applyProtection="1">
      <alignment vertical="center"/>
    </xf>
    <xf numFmtId="0" fontId="4" fillId="9" borderId="20" xfId="0" applyFont="1" applyFill="1" applyBorder="1"/>
    <xf numFmtId="166" fontId="10" fillId="0" borderId="20" xfId="0" applyNumberFormat="1" applyFont="1" applyBorder="1" applyAlignment="1">
      <alignment horizontal="left" vertical="center" wrapText="1"/>
    </xf>
    <xf numFmtId="0" fontId="10" fillId="0" borderId="18" xfId="0" applyFont="1" applyBorder="1" applyAlignment="1">
      <alignment horizontal="left" vertical="center" wrapText="1"/>
    </xf>
    <xf numFmtId="166" fontId="4" fillId="8" borderId="1" xfId="0" applyNumberFormat="1" applyFont="1" applyFill="1" applyBorder="1" applyAlignment="1">
      <alignment horizontal="left" vertical="center" wrapText="1"/>
    </xf>
    <xf numFmtId="0" fontId="4" fillId="0" borderId="18" xfId="0" applyFont="1" applyBorder="1" applyAlignment="1">
      <alignment horizontal="left" vertical="center" wrapText="1"/>
    </xf>
    <xf numFmtId="166" fontId="4" fillId="8" borderId="20" xfId="0" applyNumberFormat="1" applyFont="1" applyFill="1" applyBorder="1" applyAlignment="1">
      <alignment horizontal="left" vertical="center" wrapText="1"/>
    </xf>
    <xf numFmtId="166" fontId="4" fillId="8" borderId="9" xfId="0" applyNumberFormat="1" applyFont="1" applyFill="1" applyBorder="1" applyAlignment="1">
      <alignment horizontal="left" vertical="center" wrapText="1"/>
    </xf>
    <xf numFmtId="164" fontId="4" fillId="0" borderId="19" xfId="1" applyFont="1" applyBorder="1" applyAlignment="1" applyProtection="1">
      <alignment horizontal="left" vertical="center" wrapText="1"/>
    </xf>
    <xf numFmtId="166" fontId="10" fillId="9" borderId="7" xfId="0" applyNumberFormat="1" applyFont="1" applyFill="1" applyBorder="1" applyAlignment="1">
      <alignment horizontal="left" wrapText="1"/>
    </xf>
    <xf numFmtId="166" fontId="4" fillId="10" borderId="20" xfId="0" applyNumberFormat="1" applyFont="1" applyFill="1" applyBorder="1" applyAlignment="1">
      <alignment horizontal="left" vertical="top" wrapText="1"/>
    </xf>
    <xf numFmtId="0" fontId="4" fillId="9" borderId="9" xfId="0" applyFont="1" applyFill="1" applyBorder="1"/>
    <xf numFmtId="173" fontId="2" fillId="2" borderId="24" xfId="0" applyNumberFormat="1" applyFont="1" applyFill="1" applyBorder="1" applyAlignment="1">
      <alignment horizontal="center"/>
    </xf>
    <xf numFmtId="173" fontId="2" fillId="2" borderId="25" xfId="0" applyNumberFormat="1" applyFont="1" applyFill="1" applyBorder="1" applyAlignment="1">
      <alignment horizontal="center"/>
    </xf>
    <xf numFmtId="173" fontId="2" fillId="2" borderId="26" xfId="0" applyNumberFormat="1" applyFont="1" applyFill="1" applyBorder="1" applyAlignment="1">
      <alignment horizontal="center"/>
    </xf>
    <xf numFmtId="172" fontId="2" fillId="2" borderId="20" xfId="0" applyNumberFormat="1" applyFont="1" applyFill="1" applyBorder="1" applyAlignment="1">
      <alignment horizontal="center"/>
    </xf>
  </cellXfs>
  <cellStyles count="5">
    <cellStyle name="Moeda" xfId="1" builtinId="4"/>
    <cellStyle name="Moeda 2" xfId="2" xr:uid="{00000000-0005-0000-0000-000001000000}"/>
    <cellStyle name="Moeda 3" xfId="3" xr:uid="{00000000-0005-0000-0000-000002000000}"/>
    <cellStyle name="Normal" xfId="0" builtinId="0"/>
    <cellStyle name="Normal 2" xfId="4" xr:uid="{00000000-0005-0000-0000-000004000000}"/>
  </cellStyles>
  <dxfs count="20"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EBF1DE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5D5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0</xdr:colOff>
      <xdr:row>60</xdr:row>
      <xdr:rowOff>19050</xdr:rowOff>
    </xdr:to>
    <xdr:sp macro="" textlink="">
      <xdr:nvSpPr>
        <xdr:cNvPr id="1322" name="_x0000_t202" hidden="1">
          <a:extLst>
            <a:ext uri="{FF2B5EF4-FFF2-40B4-BE49-F238E27FC236}">
              <a16:creationId xmlns:a16="http://schemas.microsoft.com/office/drawing/2014/main" id="{00000000-0008-0000-0400-00002A0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89535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0</xdr:colOff>
      <xdr:row>60</xdr:row>
      <xdr:rowOff>19050</xdr:rowOff>
    </xdr:to>
    <xdr:sp macro="" textlink="">
      <xdr:nvSpPr>
        <xdr:cNvPr id="1323" name="_x0000_t202" hidden="1">
          <a:extLst>
            <a:ext uri="{FF2B5EF4-FFF2-40B4-BE49-F238E27FC236}">
              <a16:creationId xmlns:a16="http://schemas.microsoft.com/office/drawing/2014/main" id="{00000000-0008-0000-0400-00002B0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89535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0</xdr:colOff>
      <xdr:row>60</xdr:row>
      <xdr:rowOff>19050</xdr:rowOff>
    </xdr:to>
    <xdr:sp macro="" textlink="">
      <xdr:nvSpPr>
        <xdr:cNvPr id="1324" name="_x0000_t202" hidden="1">
          <a:extLst>
            <a:ext uri="{FF2B5EF4-FFF2-40B4-BE49-F238E27FC236}">
              <a16:creationId xmlns:a16="http://schemas.microsoft.com/office/drawing/2014/main" id="{00000000-0008-0000-0400-00002C0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89535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48</xdr:row>
      <xdr:rowOff>123825</xdr:rowOff>
    </xdr:to>
    <xdr:sp macro="" textlink="">
      <xdr:nvSpPr>
        <xdr:cNvPr id="2247" name="_x0000_t202" hidden="1">
          <a:extLst>
            <a:ext uri="{FF2B5EF4-FFF2-40B4-BE49-F238E27FC236}">
              <a16:creationId xmlns:a16="http://schemas.microsoft.com/office/drawing/2014/main" id="{00000000-0008-0000-0600-0000C70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895475" cy="944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0</xdr:colOff>
      <xdr:row>48</xdr:row>
      <xdr:rowOff>123825</xdr:rowOff>
    </xdr:to>
    <xdr:sp macro="" textlink="">
      <xdr:nvSpPr>
        <xdr:cNvPr id="2248" name="_x0000_t202" hidden="1">
          <a:extLst>
            <a:ext uri="{FF2B5EF4-FFF2-40B4-BE49-F238E27FC236}">
              <a16:creationId xmlns:a16="http://schemas.microsoft.com/office/drawing/2014/main" id="{00000000-0008-0000-0600-0000C80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895475" cy="944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50</xdr:row>
      <xdr:rowOff>0</xdr:rowOff>
    </xdr:to>
    <xdr:sp macro="" textlink="">
      <xdr:nvSpPr>
        <xdr:cNvPr id="3271" name="_x0000_t202" hidden="1">
          <a:extLst>
            <a:ext uri="{FF2B5EF4-FFF2-40B4-BE49-F238E27FC236}">
              <a16:creationId xmlns:a16="http://schemas.microsoft.com/office/drawing/2014/main" id="{00000000-0008-0000-0700-0000C70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895475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0</xdr:colOff>
      <xdr:row>50</xdr:row>
      <xdr:rowOff>0</xdr:rowOff>
    </xdr:to>
    <xdr:sp macro="" textlink="">
      <xdr:nvSpPr>
        <xdr:cNvPr id="3272" name="_x0000_t202" hidden="1">
          <a:extLst>
            <a:ext uri="{FF2B5EF4-FFF2-40B4-BE49-F238E27FC236}">
              <a16:creationId xmlns:a16="http://schemas.microsoft.com/office/drawing/2014/main" id="{00000000-0008-0000-0700-0000C80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895475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50</xdr:row>
      <xdr:rowOff>0</xdr:rowOff>
    </xdr:to>
    <xdr:sp macro="" textlink="">
      <xdr:nvSpPr>
        <xdr:cNvPr id="4295" name="_x0000_t202" hidden="1">
          <a:extLst>
            <a:ext uri="{FF2B5EF4-FFF2-40B4-BE49-F238E27FC236}">
              <a16:creationId xmlns:a16="http://schemas.microsoft.com/office/drawing/2014/main" id="{00000000-0008-0000-0800-0000C71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895475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0</xdr:colOff>
      <xdr:row>50</xdr:row>
      <xdr:rowOff>0</xdr:rowOff>
    </xdr:to>
    <xdr:sp macro="" textlink="">
      <xdr:nvSpPr>
        <xdr:cNvPr id="4296" name="_x0000_t202" hidden="1">
          <a:extLst>
            <a:ext uri="{FF2B5EF4-FFF2-40B4-BE49-F238E27FC236}">
              <a16:creationId xmlns:a16="http://schemas.microsoft.com/office/drawing/2014/main" id="{00000000-0008-0000-0800-0000C81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895475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"/>
  <sheetViews>
    <sheetView workbookViewId="0">
      <selection activeCell="B2" sqref="B2"/>
    </sheetView>
  </sheetViews>
  <sheetFormatPr defaultColWidth="8.42578125" defaultRowHeight="12.75" x14ac:dyDescent="0.2"/>
  <cols>
    <col min="1" max="1" width="20" bestFit="1" customWidth="1"/>
    <col min="2" max="2" width="13.7109375" bestFit="1" customWidth="1"/>
    <col min="3" max="3" width="12.5703125" bestFit="1" customWidth="1"/>
    <col min="4" max="5" width="8.42578125" customWidth="1"/>
    <col min="6" max="6" width="22.42578125" bestFit="1" customWidth="1"/>
  </cols>
  <sheetData>
    <row r="1" spans="1:10" x14ac:dyDescent="0.2">
      <c r="A1" s="127" t="s">
        <v>3</v>
      </c>
      <c r="B1" s="9">
        <v>45883</v>
      </c>
    </row>
    <row r="2" spans="1:10" x14ac:dyDescent="0.2">
      <c r="A2" s="10" t="s">
        <v>4</v>
      </c>
      <c r="B2" s="11">
        <f>-3409.29+7437.76</f>
        <v>4028.4700000000003</v>
      </c>
    </row>
    <row r="4" spans="1:10" x14ac:dyDescent="0.2">
      <c r="C4" s="1"/>
    </row>
    <row r="5" spans="1:10" x14ac:dyDescent="0.2">
      <c r="B5" s="4"/>
    </row>
    <row r="6" spans="1:10" x14ac:dyDescent="0.2">
      <c r="B6" s="4"/>
    </row>
    <row r="7" spans="1:10" x14ac:dyDescent="0.2">
      <c r="B7" s="4"/>
    </row>
    <row r="8" spans="1:10" x14ac:dyDescent="0.2">
      <c r="B8" s="1"/>
      <c r="F8" s="3"/>
      <c r="I8" s="7"/>
      <c r="J8" s="8"/>
    </row>
    <row r="9" spans="1:10" s="3" customFormat="1" x14ac:dyDescent="0.2">
      <c r="A9" s="2"/>
      <c r="B9" s="121"/>
      <c r="F9"/>
      <c r="G9"/>
      <c r="I9" s="7"/>
      <c r="J9" s="8"/>
    </row>
    <row r="10" spans="1:10" x14ac:dyDescent="0.2">
      <c r="B10" s="4"/>
      <c r="F10" s="3"/>
      <c r="G10" s="3"/>
      <c r="I10" s="7"/>
      <c r="J10" s="8"/>
    </row>
    <row r="11" spans="1:10" x14ac:dyDescent="0.2">
      <c r="A11" s="5"/>
      <c r="F11" s="3"/>
      <c r="G11" s="3"/>
      <c r="I11" s="7"/>
      <c r="J11" s="8"/>
    </row>
    <row r="12" spans="1:10" x14ac:dyDescent="0.2">
      <c r="F12" s="3"/>
      <c r="I12" s="7"/>
      <c r="J12" s="8"/>
    </row>
    <row r="13" spans="1:10" x14ac:dyDescent="0.2">
      <c r="I13" s="7"/>
      <c r="J13" s="8"/>
    </row>
    <row r="14" spans="1:10" x14ac:dyDescent="0.2">
      <c r="I14" s="7"/>
      <c r="J14" s="8"/>
    </row>
    <row r="15" spans="1:10" x14ac:dyDescent="0.2">
      <c r="B15" s="4"/>
      <c r="I15" s="7"/>
      <c r="J15" s="8"/>
    </row>
    <row r="16" spans="1:10" x14ac:dyDescent="0.2">
      <c r="B16" s="4"/>
      <c r="I16" s="7"/>
      <c r="J16" s="8"/>
    </row>
    <row r="17" spans="1:10" x14ac:dyDescent="0.2">
      <c r="B17" s="4"/>
      <c r="I17" s="7"/>
      <c r="J17" s="8"/>
    </row>
    <row r="18" spans="1:10" x14ac:dyDescent="0.2">
      <c r="B18" s="4"/>
      <c r="I18" s="7"/>
      <c r="J18" s="8"/>
    </row>
    <row r="19" spans="1:10" x14ac:dyDescent="0.2">
      <c r="B19" s="4"/>
    </row>
    <row r="20" spans="1:10" x14ac:dyDescent="0.2">
      <c r="B20" s="4"/>
    </row>
    <row r="21" spans="1:10" x14ac:dyDescent="0.2">
      <c r="B21" s="4"/>
    </row>
    <row r="22" spans="1:10" x14ac:dyDescent="0.2">
      <c r="A22" s="3"/>
      <c r="B22" s="4"/>
    </row>
    <row r="23" spans="1:10" x14ac:dyDescent="0.2">
      <c r="B23" s="4"/>
    </row>
    <row r="24" spans="1:10" x14ac:dyDescent="0.2">
      <c r="B24" s="4"/>
    </row>
    <row r="25" spans="1:10" x14ac:dyDescent="0.2">
      <c r="A25" s="5"/>
      <c r="B25" s="4"/>
    </row>
    <row r="26" spans="1:10" x14ac:dyDescent="0.2">
      <c r="B26" s="4"/>
    </row>
    <row r="27" spans="1:10" x14ac:dyDescent="0.2">
      <c r="B27" s="4"/>
    </row>
    <row r="46" spans="1:2" x14ac:dyDescent="0.2">
      <c r="B46" s="4"/>
    </row>
    <row r="47" spans="1:2" x14ac:dyDescent="0.2">
      <c r="A47" s="1"/>
      <c r="B47" s="6"/>
    </row>
  </sheetData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4"/>
  <sheetViews>
    <sheetView tabSelected="1" zoomScale="115" zoomScaleNormal="115" workbookViewId="0">
      <pane xSplit="1" topLeftCell="B1" activePane="topRight" state="frozen"/>
      <selection pane="topRight" activeCell="I2" sqref="I2"/>
    </sheetView>
  </sheetViews>
  <sheetFormatPr defaultColWidth="8.42578125" defaultRowHeight="12.75" x14ac:dyDescent="0.2"/>
  <cols>
    <col min="1" max="1" width="28.140625" customWidth="1"/>
    <col min="2" max="4" width="13.42578125" bestFit="1" customWidth="1"/>
    <col min="5" max="5" width="15.28515625" bestFit="1" customWidth="1"/>
    <col min="6" max="13" width="13.140625" bestFit="1" customWidth="1"/>
  </cols>
  <sheetData>
    <row r="1" spans="1:13" x14ac:dyDescent="0.2">
      <c r="A1" s="13" t="s">
        <v>5</v>
      </c>
      <c r="B1" s="14">
        <v>45748</v>
      </c>
      <c r="C1" s="14">
        <f t="shared" ref="C1:E1" si="0">B1+31</f>
        <v>45779</v>
      </c>
      <c r="D1" s="14">
        <f t="shared" si="0"/>
        <v>45810</v>
      </c>
      <c r="E1" s="14">
        <f t="shared" si="0"/>
        <v>45841</v>
      </c>
      <c r="F1" s="14">
        <f t="shared" ref="F1" si="1">E1+31</f>
        <v>45872</v>
      </c>
      <c r="G1" s="14">
        <f t="shared" ref="G1:M1" si="2">F1+31</f>
        <v>45903</v>
      </c>
      <c r="H1" s="14">
        <f t="shared" si="2"/>
        <v>45934</v>
      </c>
      <c r="I1" s="14">
        <f t="shared" si="2"/>
        <v>45965</v>
      </c>
      <c r="J1" s="14">
        <f t="shared" si="2"/>
        <v>45996</v>
      </c>
      <c r="K1" s="14">
        <f t="shared" si="2"/>
        <v>46027</v>
      </c>
      <c r="L1" s="14">
        <f t="shared" si="2"/>
        <v>46058</v>
      </c>
      <c r="M1" s="14">
        <f t="shared" si="2"/>
        <v>46089</v>
      </c>
    </row>
    <row r="2" spans="1:13" ht="12" customHeight="1" x14ac:dyDescent="0.2">
      <c r="A2" s="15" t="s">
        <v>6</v>
      </c>
      <c r="B2" s="141">
        <v>0</v>
      </c>
      <c r="C2" s="125">
        <v>0</v>
      </c>
      <c r="D2" s="125">
        <v>0</v>
      </c>
      <c r="E2" s="125">
        <v>0</v>
      </c>
      <c r="F2" s="16">
        <v>0</v>
      </c>
      <c r="G2" s="16">
        <f>15635+450-(12000/5)-(3757.83/5)</f>
        <v>12933.433999999999</v>
      </c>
      <c r="H2" s="16">
        <f>15635+450-(12000/5)-(3757.83/5)</f>
        <v>12933.433999999999</v>
      </c>
      <c r="I2" s="16">
        <f>15635+450-(3757.83/5)</f>
        <v>15333.433999999999</v>
      </c>
      <c r="J2" s="16">
        <f>15635+450-(3757.83/5)</f>
        <v>15333.433999999999</v>
      </c>
      <c r="K2" s="16">
        <f>15635-(3757.83/5)</f>
        <v>14883.433999999999</v>
      </c>
      <c r="L2" s="16">
        <f>15635</f>
        <v>15635</v>
      </c>
      <c r="M2" s="16">
        <f>15635</f>
        <v>15635</v>
      </c>
    </row>
    <row r="3" spans="1:13" ht="12" customHeight="1" x14ac:dyDescent="0.2">
      <c r="A3" s="15" t="s">
        <v>7</v>
      </c>
      <c r="B3" s="125">
        <v>0</v>
      </c>
      <c r="C3" s="125">
        <v>0</v>
      </c>
      <c r="D3" s="125">
        <v>0</v>
      </c>
      <c r="E3" s="125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</row>
    <row r="4" spans="1:13" ht="13.5" customHeight="1" x14ac:dyDescent="0.2">
      <c r="A4" s="15" t="s">
        <v>8</v>
      </c>
      <c r="B4" s="125">
        <v>0</v>
      </c>
      <c r="C4" s="125">
        <v>0</v>
      </c>
      <c r="D4" s="125">
        <v>0</v>
      </c>
      <c r="E4" s="125">
        <v>0</v>
      </c>
      <c r="F4" s="17">
        <f>Atualização!B2</f>
        <v>4028.4700000000003</v>
      </c>
      <c r="G4" s="17">
        <f t="shared" ref="G4:M4" si="3">G2-G3+F21</f>
        <v>16961.903999999999</v>
      </c>
      <c r="H4" s="17">
        <f t="shared" si="3"/>
        <v>14683.270111111107</v>
      </c>
      <c r="I4" s="17">
        <f t="shared" si="3"/>
        <v>16410.704111111107</v>
      </c>
      <c r="J4" s="17">
        <f t="shared" si="3"/>
        <v>18938.138111111104</v>
      </c>
      <c r="K4" s="17">
        <f t="shared" si="3"/>
        <v>20015.572111111105</v>
      </c>
      <c r="L4" s="17">
        <f t="shared" si="3"/>
        <v>21844.572111111105</v>
      </c>
      <c r="M4" s="17">
        <f t="shared" si="3"/>
        <v>23673.572111111105</v>
      </c>
    </row>
    <row r="5" spans="1:13" ht="12" customHeight="1" x14ac:dyDescent="0.2">
      <c r="A5" s="18" t="s">
        <v>9</v>
      </c>
      <c r="B5" s="141">
        <v>0</v>
      </c>
      <c r="C5" s="125">
        <v>0</v>
      </c>
      <c r="D5" s="125">
        <v>0</v>
      </c>
      <c r="E5" s="125">
        <v>0</v>
      </c>
      <c r="F5" s="16">
        <v>0</v>
      </c>
      <c r="G5" s="16">
        <v>0</v>
      </c>
      <c r="H5" s="16">
        <v>0</v>
      </c>
      <c r="I5" s="16">
        <v>0</v>
      </c>
      <c r="J5" s="16">
        <v>0</v>
      </c>
      <c r="K5" s="16">
        <v>0</v>
      </c>
      <c r="L5" s="16">
        <v>0</v>
      </c>
      <c r="M5" s="16">
        <v>0</v>
      </c>
    </row>
    <row r="6" spans="1:13" ht="12" customHeight="1" x14ac:dyDescent="0.2">
      <c r="A6" s="18" t="s">
        <v>10</v>
      </c>
      <c r="B6" s="141">
        <v>0</v>
      </c>
      <c r="C6" s="125">
        <v>0</v>
      </c>
      <c r="D6" s="125">
        <v>0</v>
      </c>
      <c r="E6" s="125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</row>
    <row r="7" spans="1:13" ht="12" customHeight="1" x14ac:dyDescent="0.2">
      <c r="A7" s="19" t="s">
        <v>11</v>
      </c>
      <c r="B7" s="125">
        <v>0</v>
      </c>
      <c r="C7" s="125">
        <v>0</v>
      </c>
      <c r="D7" s="125">
        <v>0</v>
      </c>
      <c r="E7" s="125">
        <v>0</v>
      </c>
      <c r="F7" s="17">
        <v>0</v>
      </c>
      <c r="G7" s="17">
        <v>5000</v>
      </c>
      <c r="H7" s="17">
        <v>5000</v>
      </c>
      <c r="I7" s="17">
        <v>5000</v>
      </c>
      <c r="J7" s="17">
        <v>6000</v>
      </c>
      <c r="K7" s="17">
        <v>6000</v>
      </c>
      <c r="L7" s="17">
        <v>6000</v>
      </c>
      <c r="M7" s="17">
        <v>6000</v>
      </c>
    </row>
    <row r="8" spans="1:13" ht="12" customHeight="1" x14ac:dyDescent="0.2">
      <c r="A8" s="19" t="s">
        <v>12</v>
      </c>
      <c r="B8" s="125">
        <v>0</v>
      </c>
      <c r="C8" s="125">
        <v>0</v>
      </c>
      <c r="D8" s="125">
        <v>0</v>
      </c>
      <c r="E8" s="125">
        <v>0</v>
      </c>
      <c r="F8" s="17">
        <v>0</v>
      </c>
      <c r="G8" s="17">
        <v>450</v>
      </c>
      <c r="H8" s="17">
        <v>450</v>
      </c>
      <c r="I8" s="17">
        <v>450</v>
      </c>
      <c r="J8" s="17">
        <v>450</v>
      </c>
      <c r="K8" s="17">
        <v>450</v>
      </c>
      <c r="L8" s="17">
        <v>450</v>
      </c>
      <c r="M8" s="17">
        <v>450</v>
      </c>
    </row>
    <row r="9" spans="1:13" x14ac:dyDescent="0.2">
      <c r="A9" s="19" t="s">
        <v>2</v>
      </c>
      <c r="B9" s="125">
        <v>0</v>
      </c>
      <c r="C9" s="125">
        <v>0</v>
      </c>
      <c r="D9" s="125">
        <v>0</v>
      </c>
      <c r="E9" s="125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</row>
    <row r="10" spans="1:13" x14ac:dyDescent="0.2">
      <c r="A10" s="19" t="s">
        <v>13</v>
      </c>
      <c r="B10" s="125">
        <v>0</v>
      </c>
      <c r="C10" s="125">
        <v>0</v>
      </c>
      <c r="D10" s="125">
        <v>0</v>
      </c>
      <c r="E10" s="125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</row>
    <row r="11" spans="1:13" x14ac:dyDescent="0.2">
      <c r="A11" s="19" t="s">
        <v>14</v>
      </c>
      <c r="B11" s="125">
        <v>0</v>
      </c>
      <c r="C11" s="125">
        <v>0</v>
      </c>
      <c r="D11" s="125">
        <v>0</v>
      </c>
      <c r="E11" s="125">
        <v>0</v>
      </c>
      <c r="F11" s="17">
        <v>0</v>
      </c>
      <c r="G11" s="17">
        <v>600</v>
      </c>
      <c r="H11" s="17">
        <v>600</v>
      </c>
      <c r="I11" s="17">
        <v>600</v>
      </c>
      <c r="J11" s="17">
        <v>600</v>
      </c>
      <c r="K11" s="17">
        <v>600</v>
      </c>
      <c r="L11" s="17">
        <v>600</v>
      </c>
      <c r="M11" s="17">
        <v>600</v>
      </c>
    </row>
    <row r="12" spans="1:13" x14ac:dyDescent="0.2">
      <c r="A12" s="19" t="s">
        <v>15</v>
      </c>
      <c r="B12" s="125">
        <v>0</v>
      </c>
      <c r="C12" s="125">
        <v>0</v>
      </c>
      <c r="D12" s="125">
        <f>0</f>
        <v>0</v>
      </c>
      <c r="E12" s="125">
        <v>0</v>
      </c>
      <c r="F12" s="17">
        <f>0</f>
        <v>0</v>
      </c>
      <c r="G12" s="17">
        <f>'XP 1451  Vence dia 01'!T29+'BB Master  5077 Venc dia 02'!T30+'BB VISA 4356 - Vence dia 12 '!T29+'Santander 9674 Vende dia 22'!T29+'BB Petrobras 8392 Vence dia 22'!T31</f>
        <v>6242.1378888888894</v>
      </c>
      <c r="H12" s="17">
        <f>'XP 1451  Vence dia 01'!W29+'BB Master  5077 Venc dia 02'!W30+'BB VISA 4356 - Vence dia 12 '!W29+'Santander 9674 Vende dia 22'!W29+'BB Petrobras 8392 Vence dia 22'!W31</f>
        <v>2038.5856666666666</v>
      </c>
      <c r="I12" s="17">
        <f>'XP 1451  Vence dia 01'!Z29+'BB Master  5077 Venc dia 02'!Z30+'BB VISA 4356 - Vence dia 12 '!Z29+'Santander 9674 Vende dia 22'!Z29+'BB Petrobras 8392 Vence dia 22'!Z31</f>
        <v>1796.5856666666666</v>
      </c>
      <c r="J12" s="17">
        <f>'XP 1451  Vence dia 01'!AC29+'BB Master  5077 Venc dia 02'!AC30+'BB VISA 4356 - Vence dia 12 '!AC29+'Santander 9674 Vende dia 22'!AC29+'BB Petrobras 8392 Vence dia 22'!AC31</f>
        <v>284.03999999999996</v>
      </c>
      <c r="K12" s="17">
        <f>'XP 1451  Vence dia 01'!AF29+'BB Master  5077 Venc dia 02'!AF30+'BB VISA 4356 - Vence dia 12 '!AF29+'Santander 9674 Vende dia 22'!AF29+'BB Petrobras 8392 Vence dia 22'!AF31</f>
        <v>265.14</v>
      </c>
      <c r="L12" s="17">
        <f>'XP 1451  Vence dia 01'!AI29+'BB Master  5077 Venc dia 02'!AI30+'BB VISA 4356 - Vence dia 12 '!AI29+'Santander 9674 Vende dia 22'!AI29+'BB Petrobras 8392 Vence dia 22'!AI31</f>
        <v>265.14</v>
      </c>
      <c r="M12" s="17">
        <f>'XP 1451  Vence dia 01'!AL29+'BB Master  5077 Venc dia 02'!AL30+'BB VISA 4356 - Vence dia 12 '!AL29+'Santander 9674 Vende dia 22'!AL29+'BB Petrobras 8392 Vence dia 22'!AL31</f>
        <v>265.14</v>
      </c>
    </row>
    <row r="13" spans="1:13" x14ac:dyDescent="0.2">
      <c r="A13" s="19" t="s">
        <v>53</v>
      </c>
      <c r="B13" s="125">
        <v>0</v>
      </c>
      <c r="C13" s="125">
        <v>0</v>
      </c>
      <c r="D13" s="125">
        <v>0</v>
      </c>
      <c r="E13" s="125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</row>
    <row r="14" spans="1:13" x14ac:dyDescent="0.2">
      <c r="A14" s="20" t="s">
        <v>16</v>
      </c>
      <c r="B14" s="142">
        <v>0</v>
      </c>
      <c r="C14" s="125">
        <v>0</v>
      </c>
      <c r="D14" s="125">
        <v>0</v>
      </c>
      <c r="E14" s="125">
        <v>0</v>
      </c>
      <c r="F14" s="21">
        <v>0</v>
      </c>
      <c r="G14" s="21">
        <f t="shared" ref="G14" si="4">IF(5000-G12&gt;0,5000-G12,0)</f>
        <v>0</v>
      </c>
      <c r="H14" s="21">
        <f t="shared" ref="H14:I14" si="5">IF(5000-H12&gt;0,5000-H12,0)</f>
        <v>2961.4143333333332</v>
      </c>
      <c r="I14" s="21">
        <f t="shared" si="5"/>
        <v>3203.4143333333332</v>
      </c>
      <c r="J14" s="21">
        <f t="shared" ref="J14:L14" si="6">IF(5000-J12&gt;0,5000-J12,0)</f>
        <v>4715.96</v>
      </c>
      <c r="K14" s="21">
        <f t="shared" si="6"/>
        <v>4734.8599999999997</v>
      </c>
      <c r="L14" s="21">
        <f t="shared" si="6"/>
        <v>4734.8599999999997</v>
      </c>
      <c r="M14" s="21">
        <f t="shared" ref="M14" si="7">IF(5000-M12&gt;0,5000-M12,0)</f>
        <v>4734.8599999999997</v>
      </c>
    </row>
    <row r="15" spans="1:13" x14ac:dyDescent="0.2">
      <c r="A15" s="124" t="s">
        <v>60</v>
      </c>
      <c r="B15" s="142">
        <v>0</v>
      </c>
      <c r="C15" s="125">
        <v>0</v>
      </c>
      <c r="D15" s="125">
        <v>0</v>
      </c>
      <c r="E15" s="125">
        <v>0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M15" s="21">
        <v>0</v>
      </c>
    </row>
    <row r="16" spans="1:13" x14ac:dyDescent="0.2">
      <c r="A16" s="22" t="s">
        <v>17</v>
      </c>
      <c r="B16" s="142">
        <v>0</v>
      </c>
      <c r="C16" s="125">
        <v>0</v>
      </c>
      <c r="D16" s="125">
        <v>0</v>
      </c>
      <c r="E16" s="125">
        <v>0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</row>
    <row r="17" spans="1:13" x14ac:dyDescent="0.2">
      <c r="A17" s="20" t="s">
        <v>18</v>
      </c>
      <c r="B17" s="142">
        <v>0</v>
      </c>
      <c r="C17" s="125">
        <v>0</v>
      </c>
      <c r="D17" s="125">
        <v>0</v>
      </c>
      <c r="E17" s="125">
        <v>0</v>
      </c>
      <c r="F17" s="21">
        <v>0</v>
      </c>
      <c r="G17" s="21">
        <f>1512+800</f>
        <v>2312</v>
      </c>
      <c r="H17" s="21">
        <f>1512+800</f>
        <v>2312</v>
      </c>
      <c r="I17" s="21">
        <v>1512</v>
      </c>
      <c r="J17" s="21">
        <f>I17</f>
        <v>1512</v>
      </c>
      <c r="K17" s="21">
        <f t="shared" ref="K17:M17" si="8">J17</f>
        <v>1512</v>
      </c>
      <c r="L17" s="21">
        <f t="shared" si="8"/>
        <v>1512</v>
      </c>
      <c r="M17" s="21">
        <f t="shared" si="8"/>
        <v>1512</v>
      </c>
    </row>
    <row r="18" spans="1:13" x14ac:dyDescent="0.2">
      <c r="A18" s="18" t="s">
        <v>74</v>
      </c>
      <c r="B18" s="125">
        <v>0</v>
      </c>
      <c r="C18" s="125">
        <v>0</v>
      </c>
      <c r="D18" s="125">
        <v>0</v>
      </c>
      <c r="E18" s="125">
        <v>0</v>
      </c>
      <c r="F18" s="17">
        <v>0</v>
      </c>
      <c r="G18" s="17">
        <f>363.93+244</f>
        <v>607.93000000000006</v>
      </c>
      <c r="H18" s="17">
        <f>244</f>
        <v>244</v>
      </c>
      <c r="I18" s="17">
        <f>244</f>
        <v>244</v>
      </c>
      <c r="J18" s="17">
        <f>244</f>
        <v>244</v>
      </c>
      <c r="K18" s="17">
        <f>244</f>
        <v>244</v>
      </c>
      <c r="L18" s="17">
        <f>244</f>
        <v>244</v>
      </c>
      <c r="M18" s="17">
        <f>244</f>
        <v>244</v>
      </c>
    </row>
    <row r="19" spans="1:13" x14ac:dyDescent="0.2">
      <c r="A19" s="130" t="s">
        <v>73</v>
      </c>
      <c r="B19" s="143">
        <v>0</v>
      </c>
      <c r="C19" s="125">
        <v>0</v>
      </c>
      <c r="D19" s="125">
        <v>0</v>
      </c>
      <c r="E19" s="125">
        <v>0</v>
      </c>
      <c r="F19" s="131">
        <f t="shared" ref="F19" si="9">E19</f>
        <v>0</v>
      </c>
      <c r="G19" s="131">
        <f t="shared" ref="G19:M19" si="10">F19</f>
        <v>0</v>
      </c>
      <c r="H19" s="131">
        <f t="shared" si="10"/>
        <v>0</v>
      </c>
      <c r="I19" s="131">
        <f t="shared" si="10"/>
        <v>0</v>
      </c>
      <c r="J19" s="131">
        <f t="shared" si="10"/>
        <v>0</v>
      </c>
      <c r="K19" s="131">
        <f t="shared" si="10"/>
        <v>0</v>
      </c>
      <c r="L19" s="131">
        <f t="shared" si="10"/>
        <v>0</v>
      </c>
      <c r="M19" s="131">
        <f t="shared" si="10"/>
        <v>0</v>
      </c>
    </row>
    <row r="20" spans="1:13" x14ac:dyDescent="0.2">
      <c r="A20" s="23" t="s">
        <v>19</v>
      </c>
      <c r="B20" s="24">
        <f t="shared" ref="B20:C20" si="11">SUM(B5:B19)</f>
        <v>0</v>
      </c>
      <c r="C20" s="24">
        <f t="shared" si="11"/>
        <v>0</v>
      </c>
      <c r="D20" s="24">
        <f t="shared" ref="D20:E20" si="12">SUM(D5:D19)</f>
        <v>0</v>
      </c>
      <c r="E20" s="24">
        <f t="shared" si="12"/>
        <v>0</v>
      </c>
      <c r="F20" s="24">
        <f t="shared" ref="F20:G20" si="13">SUM(F5:F19)</f>
        <v>0</v>
      </c>
      <c r="G20" s="24">
        <f t="shared" si="13"/>
        <v>15212.067888888891</v>
      </c>
      <c r="H20" s="24">
        <f t="shared" ref="H20:I20" si="14">SUM(H5:H19)</f>
        <v>13606</v>
      </c>
      <c r="I20" s="24">
        <f t="shared" si="14"/>
        <v>12806</v>
      </c>
      <c r="J20" s="24">
        <f t="shared" ref="J20:L20" si="15">SUM(J5:J19)</f>
        <v>13806</v>
      </c>
      <c r="K20" s="24">
        <f t="shared" si="15"/>
        <v>13806</v>
      </c>
      <c r="L20" s="24">
        <f t="shared" si="15"/>
        <v>13806</v>
      </c>
      <c r="M20" s="24">
        <f t="shared" ref="M20" si="16">SUM(M5:M19)</f>
        <v>13806</v>
      </c>
    </row>
    <row r="21" spans="1:13" x14ac:dyDescent="0.2">
      <c r="A21" s="25" t="s">
        <v>20</v>
      </c>
      <c r="B21" s="26">
        <f t="shared" ref="B21:C21" si="17">B4-B20</f>
        <v>0</v>
      </c>
      <c r="C21" s="26">
        <f t="shared" si="17"/>
        <v>0</v>
      </c>
      <c r="D21" s="26">
        <f t="shared" ref="D21:E21" si="18">D4-D20</f>
        <v>0</v>
      </c>
      <c r="E21" s="26">
        <f t="shared" si="18"/>
        <v>0</v>
      </c>
      <c r="F21" s="26">
        <f t="shared" ref="F21:G21" si="19">F4-F20</f>
        <v>4028.4700000000003</v>
      </c>
      <c r="G21" s="26">
        <f t="shared" si="19"/>
        <v>1749.836111111108</v>
      </c>
      <c r="H21" s="26">
        <f t="shared" ref="H21:I21" si="20">H4-H20</f>
        <v>1077.2701111111073</v>
      </c>
      <c r="I21" s="26">
        <f t="shared" si="20"/>
        <v>3604.7041111111066</v>
      </c>
      <c r="J21" s="26">
        <f t="shared" ref="J21:L21" si="21">J4-J20</f>
        <v>5132.1381111111041</v>
      </c>
      <c r="K21" s="26">
        <f t="shared" si="21"/>
        <v>6209.5721111111052</v>
      </c>
      <c r="L21" s="26">
        <f t="shared" si="21"/>
        <v>8038.5721111111052</v>
      </c>
      <c r="M21" s="26">
        <f t="shared" ref="M21" si="22">M4-M20</f>
        <v>9867.5721111111052</v>
      </c>
    </row>
    <row r="22" spans="1:13" x14ac:dyDescent="0.2">
      <c r="A22" s="27" t="s">
        <v>54</v>
      </c>
      <c r="B22" s="24">
        <f t="shared" ref="B22:C22" si="23">B24+B25+B26+B27+B28+B16-B23</f>
        <v>80421.81</v>
      </c>
      <c r="C22" s="24">
        <f t="shared" si="23"/>
        <v>80662.12</v>
      </c>
      <c r="D22" s="24">
        <f t="shared" ref="D22:E22" si="24">D24+D25+D26+D27+D28+D16-D23</f>
        <v>80881.279999999999</v>
      </c>
      <c r="E22" s="24">
        <f t="shared" si="24"/>
        <v>89256.650000000009</v>
      </c>
      <c r="F22" s="24">
        <f t="shared" ref="F22:G22" si="25">F24+F25+F26+F27+F28+F16-F23</f>
        <v>91377.49</v>
      </c>
      <c r="G22" s="24">
        <f t="shared" si="25"/>
        <v>96377.49</v>
      </c>
      <c r="H22" s="24">
        <f t="shared" ref="H22:M22" si="26">H24+H25+H26+H27+H28+H16-H23</f>
        <v>101377.49</v>
      </c>
      <c r="I22" s="24">
        <f t="shared" si="26"/>
        <v>106377.49</v>
      </c>
      <c r="J22" s="24">
        <f t="shared" si="26"/>
        <v>112377.49</v>
      </c>
      <c r="K22" s="24">
        <f t="shared" si="26"/>
        <v>118377.49</v>
      </c>
      <c r="L22" s="24">
        <f t="shared" si="26"/>
        <v>124377.49</v>
      </c>
      <c r="M22" s="24">
        <f t="shared" si="26"/>
        <v>130377.49</v>
      </c>
    </row>
    <row r="23" spans="1:13" x14ac:dyDescent="0.2">
      <c r="A23" s="27"/>
      <c r="B23" s="28">
        <v>0</v>
      </c>
      <c r="C23" s="28">
        <v>0</v>
      </c>
      <c r="D23" s="28">
        <v>0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</row>
    <row r="24" spans="1:13" x14ac:dyDescent="0.2">
      <c r="A24" s="27" t="s">
        <v>59</v>
      </c>
      <c r="B24" s="28">
        <v>20097.95</v>
      </c>
      <c r="C24" s="28">
        <v>20130.66</v>
      </c>
      <c r="D24" s="28">
        <f t="shared" ref="D24:M24" si="27">C24+D7</f>
        <v>20130.66</v>
      </c>
      <c r="E24" s="28">
        <v>23363.5</v>
      </c>
      <c r="F24" s="28">
        <f t="shared" si="27"/>
        <v>23363.5</v>
      </c>
      <c r="G24" s="28">
        <f t="shared" si="27"/>
        <v>28363.5</v>
      </c>
      <c r="H24" s="28">
        <f t="shared" si="27"/>
        <v>33363.5</v>
      </c>
      <c r="I24" s="28">
        <f t="shared" si="27"/>
        <v>38363.5</v>
      </c>
      <c r="J24" s="28">
        <f t="shared" si="27"/>
        <v>44363.5</v>
      </c>
      <c r="K24" s="28">
        <f t="shared" si="27"/>
        <v>50363.5</v>
      </c>
      <c r="L24" s="28">
        <f t="shared" si="27"/>
        <v>56363.5</v>
      </c>
      <c r="M24" s="28">
        <f t="shared" si="27"/>
        <v>62363.5</v>
      </c>
    </row>
    <row r="25" spans="1:13" x14ac:dyDescent="0.2">
      <c r="A25" s="27" t="s">
        <v>66</v>
      </c>
      <c r="B25" s="28">
        <v>16477.150000000001</v>
      </c>
      <c r="C25" s="28">
        <f t="shared" ref="C25:M25" si="28">B25</f>
        <v>16477.150000000001</v>
      </c>
      <c r="D25" s="28">
        <f t="shared" si="28"/>
        <v>16477.150000000001</v>
      </c>
      <c r="E25" s="28">
        <f t="shared" si="28"/>
        <v>16477.150000000001</v>
      </c>
      <c r="F25" s="28">
        <f>828.06+17135.94</f>
        <v>17964</v>
      </c>
      <c r="G25" s="28">
        <f t="shared" si="28"/>
        <v>17964</v>
      </c>
      <c r="H25" s="28">
        <f t="shared" si="28"/>
        <v>17964</v>
      </c>
      <c r="I25" s="28">
        <f t="shared" si="28"/>
        <v>17964</v>
      </c>
      <c r="J25" s="28">
        <f t="shared" si="28"/>
        <v>17964</v>
      </c>
      <c r="K25" s="28">
        <f t="shared" si="28"/>
        <v>17964</v>
      </c>
      <c r="L25" s="28">
        <f t="shared" si="28"/>
        <v>17964</v>
      </c>
      <c r="M25" s="28">
        <f t="shared" si="28"/>
        <v>17964</v>
      </c>
    </row>
    <row r="26" spans="1:13" x14ac:dyDescent="0.2">
      <c r="A26" s="27" t="s">
        <v>58</v>
      </c>
      <c r="B26" s="28">
        <v>7628.04</v>
      </c>
      <c r="C26" s="28">
        <v>7693.8</v>
      </c>
      <c r="D26" s="28">
        <f t="shared" ref="C26:E27" si="29">C26</f>
        <v>7693.8</v>
      </c>
      <c r="E26" s="28">
        <f t="shared" si="29"/>
        <v>7693.8</v>
      </c>
      <c r="F26" s="28">
        <v>7891.56</v>
      </c>
      <c r="G26" s="28">
        <f t="shared" ref="G26:M28" si="30">F26</f>
        <v>7891.56</v>
      </c>
      <c r="H26" s="28">
        <f t="shared" si="30"/>
        <v>7891.56</v>
      </c>
      <c r="I26" s="28">
        <f t="shared" si="30"/>
        <v>7891.56</v>
      </c>
      <c r="J26" s="28">
        <f t="shared" si="30"/>
        <v>7891.56</v>
      </c>
      <c r="K26" s="28">
        <f t="shared" si="30"/>
        <v>7891.56</v>
      </c>
      <c r="L26" s="28">
        <f t="shared" si="30"/>
        <v>7891.56</v>
      </c>
      <c r="M26" s="28">
        <f t="shared" si="30"/>
        <v>7891.56</v>
      </c>
    </row>
    <row r="27" spans="1:13" x14ac:dyDescent="0.2">
      <c r="A27" s="27" t="s">
        <v>50</v>
      </c>
      <c r="B27" s="28">
        <v>18000</v>
      </c>
      <c r="C27" s="28">
        <f t="shared" si="29"/>
        <v>18000</v>
      </c>
      <c r="D27" s="28">
        <v>18116.189999999999</v>
      </c>
      <c r="E27" s="28">
        <v>18238.04</v>
      </c>
      <c r="F27" s="28">
        <v>18360.740000000002</v>
      </c>
      <c r="G27" s="28">
        <f t="shared" si="30"/>
        <v>18360.740000000002</v>
      </c>
      <c r="H27" s="28">
        <f t="shared" si="30"/>
        <v>18360.740000000002</v>
      </c>
      <c r="I27" s="28">
        <f t="shared" si="30"/>
        <v>18360.740000000002</v>
      </c>
      <c r="J27" s="28">
        <f t="shared" si="30"/>
        <v>18360.740000000002</v>
      </c>
      <c r="K27" s="28">
        <f t="shared" si="30"/>
        <v>18360.740000000002</v>
      </c>
      <c r="L27" s="28">
        <f t="shared" si="30"/>
        <v>18360.740000000002</v>
      </c>
      <c r="M27" s="28">
        <f t="shared" si="30"/>
        <v>18360.740000000002</v>
      </c>
    </row>
    <row r="28" spans="1:13" x14ac:dyDescent="0.2">
      <c r="A28" s="27" t="s">
        <v>49</v>
      </c>
      <c r="B28" s="28">
        <v>18218.669999999998</v>
      </c>
      <c r="C28" s="28">
        <v>18360.509999999998</v>
      </c>
      <c r="D28" s="28">
        <v>18463.48</v>
      </c>
      <c r="E28" s="28">
        <v>23484.16</v>
      </c>
      <c r="F28" s="28">
        <v>23797.69</v>
      </c>
      <c r="G28" s="28">
        <f t="shared" si="30"/>
        <v>23797.69</v>
      </c>
      <c r="H28" s="28">
        <f t="shared" si="30"/>
        <v>23797.69</v>
      </c>
      <c r="I28" s="28">
        <f t="shared" si="30"/>
        <v>23797.69</v>
      </c>
      <c r="J28" s="28">
        <f t="shared" si="30"/>
        <v>23797.69</v>
      </c>
      <c r="K28" s="28">
        <f t="shared" si="30"/>
        <v>23797.69</v>
      </c>
      <c r="L28" s="28">
        <f t="shared" si="30"/>
        <v>23797.69</v>
      </c>
      <c r="M28" s="28">
        <f t="shared" si="30"/>
        <v>23797.69</v>
      </c>
    </row>
    <row r="29" spans="1:13" x14ac:dyDescent="0.2">
      <c r="A29" s="30"/>
      <c r="B29" s="29">
        <f t="shared" ref="B29:C29" si="31">B22+B21</f>
        <v>80421.81</v>
      </c>
      <c r="C29" s="29">
        <f t="shared" si="31"/>
        <v>80662.12</v>
      </c>
      <c r="D29" s="29">
        <f t="shared" ref="D29:E29" si="32">D22+D21</f>
        <v>80881.279999999999</v>
      </c>
      <c r="E29" s="29">
        <f t="shared" si="32"/>
        <v>89256.650000000009</v>
      </c>
      <c r="F29" s="29">
        <f t="shared" ref="F29:G29" si="33">F22+F21</f>
        <v>95405.96</v>
      </c>
      <c r="G29" s="29">
        <f t="shared" si="33"/>
        <v>98127.326111111121</v>
      </c>
      <c r="H29" s="29">
        <f t="shared" ref="H29:I29" si="34">H22+H21</f>
        <v>102454.76011111111</v>
      </c>
      <c r="I29" s="29">
        <f t="shared" si="34"/>
        <v>109982.19411111111</v>
      </c>
      <c r="J29" s="29">
        <f t="shared" ref="J29:L29" si="35">J22+J21</f>
        <v>117509.62811111112</v>
      </c>
      <c r="K29" s="29">
        <f t="shared" si="35"/>
        <v>124587.06211111111</v>
      </c>
      <c r="L29" s="29">
        <f t="shared" si="35"/>
        <v>132416.06211111112</v>
      </c>
      <c r="M29" s="29">
        <f t="shared" ref="M29" si="36">M22+M21</f>
        <v>140245.06211111112</v>
      </c>
    </row>
    <row r="30" spans="1:13" x14ac:dyDescent="0.2">
      <c r="B30" s="133"/>
      <c r="C30" s="133"/>
      <c r="D30" s="133"/>
      <c r="E30" s="133"/>
    </row>
    <row r="32" spans="1:13" x14ac:dyDescent="0.2">
      <c r="A32" s="31" t="s">
        <v>21</v>
      </c>
    </row>
    <row r="34" spans="1:1" x14ac:dyDescent="0.2">
      <c r="A34" s="31" t="s">
        <v>22</v>
      </c>
    </row>
  </sheetData>
  <conditionalFormatting sqref="B21">
    <cfRule type="cellIs" dxfId="19" priority="23" operator="greaterThan">
      <formula>0</formula>
    </cfRule>
    <cfRule type="cellIs" dxfId="18" priority="24" operator="lessThan">
      <formula>0</formula>
    </cfRule>
  </conditionalFormatting>
  <conditionalFormatting sqref="C21">
    <cfRule type="cellIs" dxfId="17" priority="21" operator="greaterThan">
      <formula>0</formula>
    </cfRule>
    <cfRule type="cellIs" dxfId="16" priority="22" operator="lessThan">
      <formula>0</formula>
    </cfRule>
  </conditionalFormatting>
  <conditionalFormatting sqref="D21">
    <cfRule type="cellIs" dxfId="15" priority="19" operator="greaterThan">
      <formula>0</formula>
    </cfRule>
    <cfRule type="cellIs" dxfId="14" priority="20" operator="lessThan">
      <formula>0</formula>
    </cfRule>
  </conditionalFormatting>
  <conditionalFormatting sqref="E21:G21">
    <cfRule type="cellIs" dxfId="13" priority="15" operator="greaterThan">
      <formula>0</formula>
    </cfRule>
    <cfRule type="cellIs" dxfId="12" priority="16" operator="lessThan">
      <formula>0</formula>
    </cfRule>
  </conditionalFormatting>
  <conditionalFormatting sqref="H21">
    <cfRule type="cellIs" dxfId="11" priority="13" operator="greaterThan">
      <formula>0</formula>
    </cfRule>
    <cfRule type="cellIs" dxfId="10" priority="14" operator="lessThan">
      <formula>0</formula>
    </cfRule>
  </conditionalFormatting>
  <conditionalFormatting sqref="I21">
    <cfRule type="cellIs" dxfId="9" priority="11" operator="greaterThan">
      <formula>0</formula>
    </cfRule>
    <cfRule type="cellIs" dxfId="8" priority="12" operator="lessThan">
      <formula>0</formula>
    </cfRule>
  </conditionalFormatting>
  <conditionalFormatting sqref="J21">
    <cfRule type="cellIs" dxfId="7" priority="9" operator="greaterThan">
      <formula>0</formula>
    </cfRule>
    <cfRule type="cellIs" dxfId="6" priority="10" operator="lessThan">
      <formula>0</formula>
    </cfRule>
  </conditionalFormatting>
  <conditionalFormatting sqref="K21">
    <cfRule type="cellIs" dxfId="5" priority="7" operator="greaterThan">
      <formula>0</formula>
    </cfRule>
    <cfRule type="cellIs" dxfId="4" priority="8" operator="lessThan">
      <formula>0</formula>
    </cfRule>
  </conditionalFormatting>
  <conditionalFormatting sqref="L21">
    <cfRule type="cellIs" dxfId="3" priority="3" operator="greaterThan">
      <formula>0</formula>
    </cfRule>
    <cfRule type="cellIs" dxfId="2" priority="4" operator="lessThan">
      <formula>0</formula>
    </cfRule>
  </conditionalFormatting>
  <conditionalFormatting sqref="M21">
    <cfRule type="cellIs" dxfId="1" priority="1" operator="greaterThan">
      <formula>0</formula>
    </cfRule>
    <cfRule type="cellIs" dxfId="0" priority="2" operator="lessThan">
      <formula>0</formula>
    </cfRule>
  </conditionalFormatting>
  <pageMargins left="0.78749999999999998" right="0.78749999999999998" top="0.98402777777777795" bottom="0.98402777777777795" header="0.51180555555555496" footer="0.51180555555555496"/>
  <pageSetup firstPageNumber="0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54"/>
  <sheetViews>
    <sheetView zoomScale="130" zoomScaleNormal="130" workbookViewId="0">
      <pane xSplit="2" ySplit="1" topLeftCell="J2" activePane="bottomRight" state="frozen"/>
      <selection pane="topRight" activeCell="C1" sqref="C1"/>
      <selection pane="bottomLeft" activeCell="A2" sqref="A2"/>
      <selection pane="bottomRight" activeCell="T7" sqref="T7"/>
    </sheetView>
  </sheetViews>
  <sheetFormatPr defaultRowHeight="12.75" x14ac:dyDescent="0.25"/>
  <cols>
    <col min="1" max="1" width="17.5703125" style="50" customWidth="1"/>
    <col min="2" max="2" width="12.28515625" style="50" bestFit="1" customWidth="1"/>
    <col min="3" max="12" width="9.140625" style="50"/>
    <col min="13" max="13" width="12.28515625" style="50" bestFit="1" customWidth="1"/>
    <col min="14" max="15" width="9.140625" style="50"/>
    <col min="16" max="16" width="12.28515625" style="50" bestFit="1" customWidth="1"/>
    <col min="17" max="18" width="9.140625" style="50"/>
    <col min="19" max="19" width="12.28515625" style="50" bestFit="1" customWidth="1"/>
    <col min="20" max="16384" width="9.140625" style="50"/>
  </cols>
  <sheetData>
    <row r="1" spans="1:38" ht="15" customHeight="1" thickBot="1" x14ac:dyDescent="0.3">
      <c r="A1" s="33" t="s">
        <v>23</v>
      </c>
      <c r="B1" s="33" t="s">
        <v>0</v>
      </c>
      <c r="C1" s="155">
        <v>45748</v>
      </c>
      <c r="D1" s="155"/>
      <c r="E1" s="155"/>
      <c r="F1" s="155">
        <f>C1+31</f>
        <v>45779</v>
      </c>
      <c r="G1" s="155"/>
      <c r="H1" s="155"/>
      <c r="I1" s="155">
        <f>F1+31</f>
        <v>45810</v>
      </c>
      <c r="J1" s="155"/>
      <c r="K1" s="155"/>
      <c r="L1" s="155">
        <f>I1+31</f>
        <v>45841</v>
      </c>
      <c r="M1" s="155"/>
      <c r="N1" s="155"/>
      <c r="O1" s="155">
        <f>L1+31</f>
        <v>45872</v>
      </c>
      <c r="P1" s="155"/>
      <c r="Q1" s="155"/>
      <c r="R1" s="155">
        <f>O1+31</f>
        <v>45903</v>
      </c>
      <c r="S1" s="155"/>
      <c r="T1" s="155"/>
      <c r="U1" s="155">
        <f>R1+31</f>
        <v>45934</v>
      </c>
      <c r="V1" s="155"/>
      <c r="W1" s="155"/>
      <c r="X1" s="155">
        <f>U1+31</f>
        <v>45965</v>
      </c>
      <c r="Y1" s="155"/>
      <c r="Z1" s="155"/>
      <c r="AA1" s="155">
        <f>X1+31</f>
        <v>45996</v>
      </c>
      <c r="AB1" s="155"/>
      <c r="AC1" s="155"/>
      <c r="AD1" s="155">
        <f>AA1+31</f>
        <v>46027</v>
      </c>
      <c r="AE1" s="155"/>
      <c r="AF1" s="155"/>
      <c r="AG1" s="155">
        <f>AD1+31</f>
        <v>46058</v>
      </c>
      <c r="AH1" s="155"/>
      <c r="AI1" s="155"/>
      <c r="AJ1" s="155">
        <f>AG1+31</f>
        <v>46089</v>
      </c>
      <c r="AK1" s="155"/>
      <c r="AL1" s="155"/>
    </row>
    <row r="2" spans="1:38" ht="15" customHeight="1" x14ac:dyDescent="0.25">
      <c r="A2" s="35" t="s">
        <v>12</v>
      </c>
      <c r="B2" s="55"/>
      <c r="C2" s="56" t="s">
        <v>24</v>
      </c>
      <c r="D2" s="57" t="s">
        <v>41</v>
      </c>
      <c r="E2" s="58" t="s">
        <v>0</v>
      </c>
      <c r="F2" s="56" t="s">
        <v>24</v>
      </c>
      <c r="G2" s="57" t="s">
        <v>41</v>
      </c>
      <c r="H2" s="58" t="s">
        <v>0</v>
      </c>
      <c r="I2" s="56" t="s">
        <v>24</v>
      </c>
      <c r="J2" s="57" t="s">
        <v>41</v>
      </c>
      <c r="K2" s="58" t="s">
        <v>0</v>
      </c>
      <c r="L2" s="56" t="s">
        <v>24</v>
      </c>
      <c r="M2" s="57" t="s">
        <v>41</v>
      </c>
      <c r="N2" s="58" t="s">
        <v>0</v>
      </c>
      <c r="O2" s="56" t="s">
        <v>24</v>
      </c>
      <c r="P2" s="57" t="s">
        <v>41</v>
      </c>
      <c r="Q2" s="58" t="s">
        <v>0</v>
      </c>
      <c r="R2" s="56" t="s">
        <v>24</v>
      </c>
      <c r="S2" s="57" t="s">
        <v>41</v>
      </c>
      <c r="T2" s="58" t="s">
        <v>0</v>
      </c>
      <c r="U2" s="56" t="s">
        <v>24</v>
      </c>
      <c r="V2" s="57" t="s">
        <v>41</v>
      </c>
      <c r="W2" s="58" t="s">
        <v>0</v>
      </c>
      <c r="X2" s="56" t="s">
        <v>24</v>
      </c>
      <c r="Y2" s="57" t="s">
        <v>41</v>
      </c>
      <c r="Z2" s="58" t="s">
        <v>0</v>
      </c>
      <c r="AA2" s="56" t="s">
        <v>24</v>
      </c>
      <c r="AB2" s="57" t="s">
        <v>41</v>
      </c>
      <c r="AC2" s="58" t="s">
        <v>0</v>
      </c>
      <c r="AD2" s="56" t="s">
        <v>24</v>
      </c>
      <c r="AE2" s="57" t="s">
        <v>41</v>
      </c>
      <c r="AF2" s="58" t="s">
        <v>0</v>
      </c>
      <c r="AG2" s="56" t="s">
        <v>24</v>
      </c>
      <c r="AH2" s="57" t="s">
        <v>41</v>
      </c>
      <c r="AI2" s="58" t="s">
        <v>0</v>
      </c>
      <c r="AJ2" s="56" t="s">
        <v>24</v>
      </c>
      <c r="AK2" s="57" t="s">
        <v>41</v>
      </c>
      <c r="AL2" s="58" t="s">
        <v>0</v>
      </c>
    </row>
    <row r="3" spans="1:38" ht="15" customHeight="1" x14ac:dyDescent="0.25">
      <c r="A3" s="59" t="s">
        <v>26</v>
      </c>
      <c r="B3" s="55">
        <v>0</v>
      </c>
      <c r="C3" s="104">
        <v>45673</v>
      </c>
      <c r="D3" s="91" t="s">
        <v>126</v>
      </c>
      <c r="E3" s="105">
        <f>3048.89/10</f>
        <v>304.88900000000001</v>
      </c>
      <c r="F3" s="104">
        <v>45673</v>
      </c>
      <c r="G3" s="91" t="s">
        <v>125</v>
      </c>
      <c r="H3" s="105">
        <f>3048.89/10</f>
        <v>304.88900000000001</v>
      </c>
      <c r="I3" s="104">
        <v>45673</v>
      </c>
      <c r="J3" s="91" t="s">
        <v>124</v>
      </c>
      <c r="K3" s="105">
        <f>3048.89/10</f>
        <v>304.88900000000001</v>
      </c>
      <c r="L3" s="104">
        <v>45673</v>
      </c>
      <c r="M3" s="91" t="s">
        <v>123</v>
      </c>
      <c r="N3" s="105">
        <f>3048.89/10</f>
        <v>304.88900000000001</v>
      </c>
      <c r="O3" s="86">
        <v>45673</v>
      </c>
      <c r="P3" s="53" t="s">
        <v>130</v>
      </c>
      <c r="Q3" s="54">
        <f>3048.89/10</f>
        <v>304.88900000000001</v>
      </c>
      <c r="R3" s="86">
        <v>45673</v>
      </c>
      <c r="S3" s="53" t="s">
        <v>129</v>
      </c>
      <c r="T3" s="54">
        <f>3048.89/10</f>
        <v>304.88900000000001</v>
      </c>
      <c r="U3" s="86">
        <v>45673</v>
      </c>
      <c r="V3" s="53" t="s">
        <v>128</v>
      </c>
      <c r="W3" s="54">
        <f>3048.89/10</f>
        <v>304.88900000000001</v>
      </c>
      <c r="X3" s="86">
        <v>45673</v>
      </c>
      <c r="Y3" s="53" t="s">
        <v>127</v>
      </c>
      <c r="Z3" s="54">
        <f>3048.89/10</f>
        <v>304.88900000000001</v>
      </c>
      <c r="AA3" s="86"/>
      <c r="AB3" s="53"/>
      <c r="AC3" s="54"/>
      <c r="AD3" s="86"/>
      <c r="AE3" s="53"/>
      <c r="AF3" s="54"/>
      <c r="AG3" s="86"/>
      <c r="AH3" s="53"/>
      <c r="AI3" s="54"/>
      <c r="AJ3" s="86"/>
      <c r="AK3" s="53"/>
      <c r="AL3" s="54"/>
    </row>
    <row r="4" spans="1:38" ht="15" customHeight="1" x14ac:dyDescent="0.25">
      <c r="A4" s="59" t="s">
        <v>27</v>
      </c>
      <c r="B4" s="55">
        <v>0</v>
      </c>
      <c r="C4" s="104">
        <v>45712</v>
      </c>
      <c r="D4" s="117" t="s">
        <v>142</v>
      </c>
      <c r="E4" s="105">
        <v>83</v>
      </c>
      <c r="F4" s="104">
        <v>45767</v>
      </c>
      <c r="G4" s="91" t="s">
        <v>138</v>
      </c>
      <c r="H4" s="105">
        <f>1287.16/2</f>
        <v>643.58000000000004</v>
      </c>
      <c r="I4" s="104">
        <v>45767</v>
      </c>
      <c r="J4" s="91" t="s">
        <v>138</v>
      </c>
      <c r="K4" s="105">
        <f>1287.16/2</f>
        <v>643.58000000000004</v>
      </c>
      <c r="L4" s="104">
        <v>45801</v>
      </c>
      <c r="M4" s="90" t="s">
        <v>82</v>
      </c>
      <c r="N4" s="107">
        <v>21.57</v>
      </c>
      <c r="O4" s="86">
        <v>45803</v>
      </c>
      <c r="P4" s="126" t="s">
        <v>232</v>
      </c>
      <c r="Q4" s="54">
        <f>169/3</f>
        <v>56.333333333333336</v>
      </c>
      <c r="R4" s="86">
        <v>45803</v>
      </c>
      <c r="S4" s="126" t="s">
        <v>232</v>
      </c>
      <c r="T4" s="54">
        <f>169/3</f>
        <v>56.333333333333336</v>
      </c>
      <c r="U4" s="86">
        <v>45803</v>
      </c>
      <c r="V4" s="126" t="s">
        <v>231</v>
      </c>
      <c r="W4" s="54">
        <f>169/3</f>
        <v>56.333333333333336</v>
      </c>
      <c r="X4" s="86">
        <v>45881</v>
      </c>
      <c r="Y4" s="64" t="s">
        <v>342</v>
      </c>
      <c r="Z4" s="43">
        <f>983.3/3</f>
        <v>327.76666666666665</v>
      </c>
      <c r="AA4" s="86"/>
      <c r="AB4" s="126"/>
      <c r="AC4" s="54"/>
      <c r="AD4" s="86"/>
      <c r="AE4" s="126"/>
      <c r="AF4" s="54"/>
      <c r="AG4" s="86"/>
      <c r="AH4" s="126"/>
      <c r="AI4" s="54"/>
      <c r="AJ4" s="86"/>
      <c r="AK4" s="126"/>
      <c r="AL4" s="54"/>
    </row>
    <row r="5" spans="1:38" ht="15" customHeight="1" x14ac:dyDescent="0.25">
      <c r="A5" s="35" t="s">
        <v>43</v>
      </c>
      <c r="B5" s="55">
        <v>1242</v>
      </c>
      <c r="C5" s="104">
        <v>45713</v>
      </c>
      <c r="D5" s="117" t="s">
        <v>143</v>
      </c>
      <c r="E5" s="105">
        <v>45</v>
      </c>
      <c r="F5" s="104"/>
      <c r="G5" s="117"/>
      <c r="H5" s="105"/>
      <c r="I5" s="86"/>
      <c r="J5" s="126"/>
      <c r="K5" s="54"/>
      <c r="L5" s="104">
        <v>45802</v>
      </c>
      <c r="M5" s="90" t="s">
        <v>235</v>
      </c>
      <c r="N5" s="107">
        <v>36.700000000000003</v>
      </c>
      <c r="O5" s="86">
        <v>45803</v>
      </c>
      <c r="P5" s="53" t="s">
        <v>242</v>
      </c>
      <c r="Q5" s="54">
        <f>287/3</f>
        <v>95.666666666666671</v>
      </c>
      <c r="R5" s="86">
        <v>45803</v>
      </c>
      <c r="S5" s="53" t="s">
        <v>242</v>
      </c>
      <c r="T5" s="54">
        <f>287/3</f>
        <v>95.666666666666671</v>
      </c>
      <c r="U5" s="86">
        <v>45803</v>
      </c>
      <c r="V5" s="53" t="s">
        <v>241</v>
      </c>
      <c r="W5" s="54">
        <f>287/3</f>
        <v>95.666666666666671</v>
      </c>
      <c r="X5" s="86"/>
      <c r="Y5" s="126"/>
      <c r="Z5" s="54"/>
      <c r="AA5" s="86"/>
      <c r="AB5" s="126"/>
      <c r="AC5" s="54"/>
      <c r="AD5" s="86"/>
      <c r="AE5" s="126"/>
      <c r="AF5" s="54"/>
      <c r="AG5" s="86"/>
      <c r="AH5" s="126"/>
      <c r="AI5" s="54"/>
      <c r="AJ5" s="86"/>
      <c r="AK5" s="126"/>
      <c r="AL5" s="54"/>
    </row>
    <row r="6" spans="1:38" ht="15" customHeight="1" x14ac:dyDescent="0.25">
      <c r="A6" s="35" t="s">
        <v>28</v>
      </c>
      <c r="B6" s="55">
        <v>0</v>
      </c>
      <c r="C6" s="104">
        <v>45712</v>
      </c>
      <c r="D6" s="90" t="s">
        <v>94</v>
      </c>
      <c r="E6" s="107">
        <v>28.11</v>
      </c>
      <c r="F6" s="86"/>
      <c r="G6" s="64"/>
      <c r="H6" s="43"/>
      <c r="I6" s="86"/>
      <c r="J6" s="64"/>
      <c r="K6" s="43"/>
      <c r="L6" s="104">
        <v>45802</v>
      </c>
      <c r="M6" s="117" t="s">
        <v>76</v>
      </c>
      <c r="N6" s="105">
        <v>37.97</v>
      </c>
      <c r="O6" s="86"/>
      <c r="P6" s="64"/>
      <c r="Q6" s="43"/>
      <c r="R6" s="86">
        <v>45881</v>
      </c>
      <c r="S6" s="64" t="s">
        <v>341</v>
      </c>
      <c r="T6" s="43">
        <f>983.3/3</f>
        <v>327.76666666666665</v>
      </c>
      <c r="U6" s="86">
        <v>45881</v>
      </c>
      <c r="V6" s="64" t="s">
        <v>343</v>
      </c>
      <c r="W6" s="43">
        <f>983.3/3</f>
        <v>327.76666666666665</v>
      </c>
      <c r="X6" s="86"/>
      <c r="Y6" s="64"/>
      <c r="Z6" s="43"/>
      <c r="AA6" s="86"/>
      <c r="AB6" s="64"/>
      <c r="AC6" s="43"/>
      <c r="AD6" s="86"/>
      <c r="AE6" s="64"/>
      <c r="AF6" s="43"/>
      <c r="AG6" s="86"/>
      <c r="AH6" s="64"/>
      <c r="AI6" s="43"/>
      <c r="AJ6" s="86"/>
      <c r="AK6" s="64"/>
      <c r="AL6" s="43"/>
    </row>
    <row r="7" spans="1:38" ht="15" customHeight="1" x14ac:dyDescent="0.25">
      <c r="A7" s="35" t="s">
        <v>29</v>
      </c>
      <c r="B7" s="55">
        <v>0</v>
      </c>
      <c r="C7" s="104">
        <v>45712</v>
      </c>
      <c r="D7" s="90" t="s">
        <v>96</v>
      </c>
      <c r="E7" s="107">
        <v>103.96</v>
      </c>
      <c r="F7" s="86"/>
      <c r="G7" s="64"/>
      <c r="H7" s="43"/>
      <c r="I7" s="86"/>
      <c r="J7" s="64"/>
      <c r="K7" s="43"/>
      <c r="L7" s="104">
        <v>45803</v>
      </c>
      <c r="M7" s="117" t="s">
        <v>230</v>
      </c>
      <c r="N7" s="105">
        <f>169/3</f>
        <v>56.333333333333336</v>
      </c>
      <c r="O7" s="86"/>
      <c r="P7" s="64"/>
      <c r="Q7" s="43"/>
      <c r="R7" s="86"/>
      <c r="S7" s="64"/>
      <c r="T7" s="43"/>
      <c r="U7" s="86"/>
      <c r="V7" s="64"/>
      <c r="W7" s="43"/>
      <c r="X7" s="86"/>
      <c r="Y7" s="64"/>
      <c r="Z7" s="43"/>
      <c r="AA7" s="86"/>
      <c r="AB7" s="64"/>
      <c r="AC7" s="43"/>
      <c r="AD7" s="86"/>
      <c r="AE7" s="64"/>
      <c r="AF7" s="43"/>
      <c r="AG7" s="86"/>
      <c r="AH7" s="64"/>
      <c r="AI7" s="43"/>
      <c r="AJ7" s="86"/>
      <c r="AK7" s="64"/>
      <c r="AL7" s="43"/>
    </row>
    <row r="8" spans="1:38" ht="15" customHeight="1" x14ac:dyDescent="0.25">
      <c r="A8" s="35" t="s">
        <v>30</v>
      </c>
      <c r="B8" s="55">
        <v>0</v>
      </c>
      <c r="C8" s="104">
        <v>45711</v>
      </c>
      <c r="D8" s="90" t="s">
        <v>144</v>
      </c>
      <c r="E8" s="107">
        <v>11</v>
      </c>
      <c r="F8" s="86"/>
      <c r="G8" s="64"/>
      <c r="H8" s="43"/>
      <c r="I8" s="86"/>
      <c r="J8" s="64"/>
      <c r="K8" s="43"/>
      <c r="L8" s="104">
        <v>45803</v>
      </c>
      <c r="M8" s="117" t="s">
        <v>31</v>
      </c>
      <c r="N8" s="105">
        <v>115</v>
      </c>
      <c r="O8" s="86"/>
      <c r="P8" s="64"/>
      <c r="Q8" s="43"/>
      <c r="R8" s="86"/>
      <c r="S8" s="64"/>
      <c r="T8" s="43"/>
      <c r="U8" s="86"/>
      <c r="V8" s="64"/>
      <c r="W8" s="43"/>
      <c r="X8" s="86"/>
      <c r="Y8" s="64"/>
      <c r="Z8" s="43"/>
      <c r="AA8" s="86"/>
      <c r="AB8" s="64"/>
      <c r="AC8" s="43"/>
      <c r="AD8" s="86"/>
      <c r="AE8" s="64"/>
      <c r="AF8" s="43"/>
      <c r="AG8" s="86"/>
      <c r="AH8" s="64"/>
      <c r="AI8" s="43"/>
      <c r="AJ8" s="86"/>
      <c r="AK8" s="64"/>
      <c r="AL8" s="43"/>
    </row>
    <row r="9" spans="1:38" ht="15" customHeight="1" x14ac:dyDescent="0.25">
      <c r="A9" s="35" t="s">
        <v>32</v>
      </c>
      <c r="B9" s="55">
        <v>0</v>
      </c>
      <c r="C9" s="104">
        <v>45710</v>
      </c>
      <c r="D9" s="108" t="s">
        <v>33</v>
      </c>
      <c r="E9" s="107">
        <v>23</v>
      </c>
      <c r="F9" s="86"/>
      <c r="G9" s="42"/>
      <c r="H9" s="43"/>
      <c r="I9" s="86"/>
      <c r="J9" s="42"/>
      <c r="K9" s="43"/>
      <c r="L9" s="104">
        <v>45803</v>
      </c>
      <c r="M9" s="101" t="s">
        <v>46</v>
      </c>
      <c r="N9" s="107">
        <v>126.97</v>
      </c>
      <c r="O9" s="86"/>
      <c r="P9" s="42"/>
      <c r="Q9" s="43"/>
      <c r="R9" s="86"/>
      <c r="S9" s="42"/>
      <c r="T9" s="43"/>
      <c r="U9" s="86"/>
      <c r="V9" s="42"/>
      <c r="W9" s="43"/>
      <c r="X9" s="86"/>
      <c r="Y9" s="42"/>
      <c r="Z9" s="43"/>
      <c r="AA9" s="86"/>
      <c r="AB9" s="42"/>
      <c r="AC9" s="43"/>
      <c r="AD9" s="86"/>
      <c r="AE9" s="42"/>
      <c r="AF9" s="43"/>
      <c r="AG9" s="86"/>
      <c r="AH9" s="42"/>
      <c r="AI9" s="43"/>
      <c r="AJ9" s="86"/>
      <c r="AK9" s="42"/>
      <c r="AL9" s="43"/>
    </row>
    <row r="10" spans="1:38" ht="15" customHeight="1" x14ac:dyDescent="0.25">
      <c r="A10" s="35" t="s">
        <v>45</v>
      </c>
      <c r="B10" s="55">
        <v>0</v>
      </c>
      <c r="C10" s="104">
        <v>45713</v>
      </c>
      <c r="D10" s="91" t="s">
        <v>90</v>
      </c>
      <c r="E10" s="105">
        <v>27.93</v>
      </c>
      <c r="F10" s="86"/>
      <c r="G10" s="53"/>
      <c r="H10" s="54"/>
      <c r="I10" s="86"/>
      <c r="J10" s="53"/>
      <c r="K10" s="54"/>
      <c r="L10" s="104">
        <v>45803</v>
      </c>
      <c r="M10" s="108" t="s">
        <v>31</v>
      </c>
      <c r="N10" s="107">
        <v>118.23</v>
      </c>
      <c r="O10" s="86"/>
      <c r="P10" s="53"/>
      <c r="Q10" s="54"/>
      <c r="R10" s="86"/>
      <c r="S10" s="53"/>
      <c r="T10" s="54"/>
      <c r="U10" s="86"/>
      <c r="V10" s="53"/>
      <c r="W10" s="54"/>
      <c r="X10" s="86"/>
      <c r="Y10" s="53"/>
      <c r="Z10" s="54"/>
      <c r="AA10" s="86"/>
      <c r="AB10" s="53"/>
      <c r="AC10" s="54"/>
      <c r="AD10" s="86"/>
      <c r="AE10" s="53"/>
      <c r="AF10" s="54"/>
      <c r="AG10" s="86"/>
      <c r="AH10" s="53"/>
      <c r="AI10" s="54"/>
      <c r="AJ10" s="86"/>
      <c r="AK10" s="53"/>
      <c r="AL10" s="54"/>
    </row>
    <row r="11" spans="1:38" ht="15" customHeight="1" x14ac:dyDescent="0.25">
      <c r="A11" s="35" t="s">
        <v>34</v>
      </c>
      <c r="B11" s="55">
        <v>0</v>
      </c>
      <c r="C11" s="104">
        <v>45715</v>
      </c>
      <c r="D11" s="90" t="s">
        <v>77</v>
      </c>
      <c r="E11" s="107">
        <v>37.96</v>
      </c>
      <c r="F11" s="86"/>
      <c r="G11" s="53"/>
      <c r="H11" s="54"/>
      <c r="I11" s="86"/>
      <c r="J11" s="53"/>
      <c r="K11" s="54"/>
      <c r="L11" s="104">
        <v>45803</v>
      </c>
      <c r="M11" s="91" t="s">
        <v>240</v>
      </c>
      <c r="N11" s="105">
        <f>287/3</f>
        <v>95.666666666666671</v>
      </c>
      <c r="O11" s="86"/>
      <c r="P11" s="53"/>
      <c r="Q11" s="54"/>
      <c r="R11" s="86"/>
      <c r="S11" s="53"/>
      <c r="T11" s="54"/>
      <c r="U11" s="86"/>
      <c r="V11" s="53"/>
      <c r="W11" s="54"/>
      <c r="X11" s="86"/>
      <c r="Y11" s="53"/>
      <c r="Z11" s="54"/>
      <c r="AA11" s="86"/>
      <c r="AB11" s="53"/>
      <c r="AC11" s="54"/>
      <c r="AD11" s="86"/>
      <c r="AE11" s="53"/>
      <c r="AF11" s="54"/>
      <c r="AG11" s="86"/>
      <c r="AH11" s="53"/>
      <c r="AI11" s="54"/>
      <c r="AJ11" s="86"/>
      <c r="AK11" s="53"/>
      <c r="AL11" s="54"/>
    </row>
    <row r="12" spans="1:38" ht="15" customHeight="1" x14ac:dyDescent="0.25">
      <c r="A12" s="35" t="s">
        <v>36</v>
      </c>
      <c r="B12" s="55">
        <v>0</v>
      </c>
      <c r="C12" s="104">
        <v>45719</v>
      </c>
      <c r="D12" s="90" t="s">
        <v>31</v>
      </c>
      <c r="E12" s="107">
        <v>104.53</v>
      </c>
      <c r="F12" s="86"/>
      <c r="G12" s="53"/>
      <c r="H12" s="54"/>
      <c r="I12" s="86"/>
      <c r="J12" s="53"/>
      <c r="K12" s="54"/>
      <c r="L12" s="104">
        <v>45806</v>
      </c>
      <c r="M12" s="91" t="s">
        <v>70</v>
      </c>
      <c r="N12" s="105">
        <v>221.47</v>
      </c>
      <c r="O12" s="86"/>
      <c r="P12" s="53"/>
      <c r="Q12" s="54"/>
      <c r="R12" s="86"/>
      <c r="S12" s="53"/>
      <c r="T12" s="54"/>
      <c r="U12" s="86"/>
      <c r="V12" s="53"/>
      <c r="W12" s="54"/>
      <c r="X12" s="86"/>
      <c r="Y12" s="53"/>
      <c r="Z12" s="54"/>
      <c r="AA12" s="86"/>
      <c r="AB12" s="53"/>
      <c r="AC12" s="54"/>
      <c r="AD12" s="86"/>
      <c r="AE12" s="53"/>
      <c r="AF12" s="54"/>
      <c r="AG12" s="86"/>
      <c r="AH12" s="53"/>
      <c r="AI12" s="54"/>
      <c r="AJ12" s="86"/>
      <c r="AK12" s="53"/>
      <c r="AL12" s="54"/>
    </row>
    <row r="13" spans="1:38" ht="15" customHeight="1" x14ac:dyDescent="0.25">
      <c r="A13" s="23" t="s">
        <v>19</v>
      </c>
      <c r="B13" s="65">
        <f>SUM(B2:B12)</f>
        <v>1242</v>
      </c>
      <c r="C13" s="104">
        <v>45715</v>
      </c>
      <c r="D13" s="92" t="s">
        <v>48</v>
      </c>
      <c r="E13" s="106">
        <v>87.83</v>
      </c>
      <c r="F13" s="86"/>
      <c r="G13" s="66"/>
      <c r="H13" s="63"/>
      <c r="I13" s="86"/>
      <c r="J13" s="66"/>
      <c r="K13" s="63"/>
      <c r="L13" s="104">
        <v>45806</v>
      </c>
      <c r="M13" s="92" t="s">
        <v>243</v>
      </c>
      <c r="N13" s="106">
        <v>174.9</v>
      </c>
      <c r="O13" s="86"/>
      <c r="P13" s="66"/>
      <c r="Q13" s="63"/>
      <c r="R13" s="86"/>
      <c r="S13" s="66"/>
      <c r="T13" s="63"/>
      <c r="U13" s="86"/>
      <c r="V13" s="66"/>
      <c r="W13" s="63"/>
      <c r="X13" s="86"/>
      <c r="Y13" s="66"/>
      <c r="Z13" s="63"/>
      <c r="AA13" s="86"/>
      <c r="AB13" s="66"/>
      <c r="AC13" s="63"/>
      <c r="AD13" s="86"/>
      <c r="AE13" s="66"/>
      <c r="AF13" s="63"/>
      <c r="AG13" s="86"/>
      <c r="AH13" s="66"/>
      <c r="AI13" s="63"/>
      <c r="AJ13" s="86"/>
      <c r="AK13" s="66"/>
      <c r="AL13" s="63"/>
    </row>
    <row r="14" spans="1:38" ht="15" customHeight="1" x14ac:dyDescent="0.25">
      <c r="C14" s="104">
        <v>45715</v>
      </c>
      <c r="D14" s="93" t="s">
        <v>31</v>
      </c>
      <c r="E14" s="106">
        <v>231.37</v>
      </c>
      <c r="F14" s="86"/>
      <c r="G14" s="68"/>
      <c r="H14" s="63"/>
      <c r="I14" s="86"/>
      <c r="J14" s="68"/>
      <c r="K14" s="63"/>
      <c r="L14" s="86"/>
      <c r="M14" s="68"/>
      <c r="N14" s="63"/>
      <c r="O14" s="86"/>
      <c r="P14" s="68"/>
      <c r="Q14" s="63"/>
      <c r="R14" s="86"/>
      <c r="S14" s="68"/>
      <c r="T14" s="63"/>
      <c r="U14" s="86"/>
      <c r="V14" s="68"/>
      <c r="W14" s="63"/>
      <c r="X14" s="86"/>
      <c r="Y14" s="68"/>
      <c r="Z14" s="63"/>
      <c r="AA14" s="86"/>
      <c r="AB14" s="68"/>
      <c r="AC14" s="63"/>
      <c r="AD14" s="86"/>
      <c r="AE14" s="68"/>
      <c r="AF14" s="63"/>
      <c r="AG14" s="86"/>
      <c r="AH14" s="68"/>
      <c r="AI14" s="63"/>
      <c r="AJ14" s="86"/>
      <c r="AK14" s="68"/>
      <c r="AL14" s="63"/>
    </row>
    <row r="15" spans="1:38" ht="15" customHeight="1" x14ac:dyDescent="0.25">
      <c r="A15" s="35" t="s">
        <v>37</v>
      </c>
      <c r="B15" s="55">
        <v>31</v>
      </c>
      <c r="C15" s="104">
        <v>45714</v>
      </c>
      <c r="D15" s="89" t="s">
        <v>35</v>
      </c>
      <c r="E15" s="106">
        <v>39.18</v>
      </c>
      <c r="F15" s="86"/>
      <c r="G15" s="62"/>
      <c r="H15" s="63"/>
      <c r="I15" s="86"/>
      <c r="J15" s="62"/>
      <c r="K15" s="63"/>
      <c r="L15" s="86"/>
      <c r="M15" s="62"/>
      <c r="N15" s="63"/>
      <c r="O15" s="86"/>
      <c r="P15" s="62"/>
      <c r="Q15" s="63"/>
      <c r="R15" s="86"/>
      <c r="S15" s="62"/>
      <c r="T15" s="63"/>
      <c r="U15" s="86"/>
      <c r="V15" s="62"/>
      <c r="W15" s="63"/>
      <c r="X15" s="86"/>
      <c r="Y15" s="62"/>
      <c r="Z15" s="63"/>
      <c r="AA15" s="86"/>
      <c r="AB15" s="62"/>
      <c r="AC15" s="63"/>
      <c r="AD15" s="86"/>
      <c r="AE15" s="62"/>
      <c r="AF15" s="63"/>
      <c r="AG15" s="86"/>
      <c r="AH15" s="62"/>
      <c r="AI15" s="63"/>
      <c r="AJ15" s="86"/>
      <c r="AK15" s="62"/>
      <c r="AL15" s="63"/>
    </row>
    <row r="16" spans="1:38" ht="15" customHeight="1" x14ac:dyDescent="0.25">
      <c r="A16" s="35" t="s">
        <v>40</v>
      </c>
      <c r="B16" s="67">
        <f>B15-B13</f>
        <v>-1211</v>
      </c>
      <c r="C16" s="104">
        <v>45714</v>
      </c>
      <c r="D16" s="89" t="s">
        <v>146</v>
      </c>
      <c r="E16" s="106">
        <v>74</v>
      </c>
      <c r="F16" s="86"/>
      <c r="G16" s="62"/>
      <c r="H16" s="63"/>
      <c r="I16" s="86"/>
      <c r="J16" s="62"/>
      <c r="K16" s="63"/>
      <c r="L16" s="86"/>
      <c r="M16" s="62"/>
      <c r="N16" s="63"/>
      <c r="O16" s="86"/>
      <c r="P16" s="62"/>
      <c r="Q16" s="63"/>
      <c r="R16" s="86"/>
      <c r="S16" s="62"/>
      <c r="T16" s="63"/>
      <c r="U16" s="86"/>
      <c r="V16" s="62"/>
      <c r="W16" s="63"/>
      <c r="X16" s="86"/>
      <c r="Y16" s="62"/>
      <c r="Z16" s="63"/>
      <c r="AA16" s="86"/>
      <c r="AB16" s="62"/>
      <c r="AC16" s="63"/>
      <c r="AD16" s="86"/>
      <c r="AE16" s="62"/>
      <c r="AF16" s="63"/>
      <c r="AG16" s="86"/>
      <c r="AH16" s="62"/>
      <c r="AI16" s="63"/>
      <c r="AJ16" s="86"/>
      <c r="AK16" s="62"/>
      <c r="AL16" s="63"/>
    </row>
    <row r="17" spans="3:38" ht="15" customHeight="1" x14ac:dyDescent="0.25">
      <c r="C17" s="104">
        <v>45713</v>
      </c>
      <c r="D17" s="89" t="s">
        <v>1</v>
      </c>
      <c r="E17" s="106">
        <v>15.84</v>
      </c>
      <c r="F17" s="86"/>
      <c r="G17" s="62"/>
      <c r="H17" s="63"/>
      <c r="I17" s="86"/>
      <c r="J17" s="62"/>
      <c r="K17" s="63"/>
      <c r="L17" s="86"/>
      <c r="M17" s="62"/>
      <c r="N17" s="63"/>
      <c r="O17" s="86"/>
      <c r="P17" s="62"/>
      <c r="Q17" s="63"/>
      <c r="R17" s="86"/>
      <c r="S17" s="62"/>
      <c r="T17" s="63"/>
      <c r="U17" s="86"/>
      <c r="V17" s="62"/>
      <c r="W17" s="63"/>
      <c r="X17" s="86"/>
      <c r="Y17" s="62"/>
      <c r="Z17" s="63"/>
      <c r="AA17" s="86"/>
      <c r="AB17" s="62"/>
      <c r="AC17" s="63"/>
      <c r="AD17" s="86"/>
      <c r="AE17" s="62"/>
      <c r="AF17" s="63"/>
      <c r="AG17" s="86"/>
      <c r="AH17" s="62"/>
      <c r="AI17" s="63"/>
      <c r="AJ17" s="86"/>
      <c r="AK17" s="62"/>
      <c r="AL17" s="63"/>
    </row>
    <row r="18" spans="3:38" ht="15" customHeight="1" x14ac:dyDescent="0.25">
      <c r="C18" s="104">
        <v>45714</v>
      </c>
      <c r="D18" s="89" t="s">
        <v>104</v>
      </c>
      <c r="E18" s="106">
        <v>18.899999999999999</v>
      </c>
      <c r="F18" s="86"/>
      <c r="G18" s="62"/>
      <c r="H18" s="63"/>
      <c r="I18" s="86"/>
      <c r="J18" s="62"/>
      <c r="K18" s="63"/>
      <c r="L18" s="86"/>
      <c r="M18" s="62"/>
      <c r="N18" s="63"/>
      <c r="O18" s="86"/>
      <c r="P18" s="62"/>
      <c r="Q18" s="63"/>
      <c r="R18" s="86"/>
      <c r="S18" s="62"/>
      <c r="T18" s="63"/>
      <c r="U18" s="86"/>
      <c r="V18" s="62"/>
      <c r="W18" s="63"/>
      <c r="X18" s="86"/>
      <c r="Y18" s="62"/>
      <c r="Z18" s="63"/>
      <c r="AA18" s="86"/>
      <c r="AB18" s="62"/>
      <c r="AC18" s="63"/>
      <c r="AD18" s="86"/>
      <c r="AE18" s="62"/>
      <c r="AF18" s="63"/>
      <c r="AG18" s="86"/>
      <c r="AH18" s="62"/>
      <c r="AI18" s="63"/>
      <c r="AJ18" s="86"/>
      <c r="AK18" s="62"/>
      <c r="AL18" s="63"/>
    </row>
    <row r="19" spans="3:38" ht="15" customHeight="1" x14ac:dyDescent="0.25">
      <c r="C19" s="104">
        <v>45717</v>
      </c>
      <c r="D19" s="89" t="s">
        <v>147</v>
      </c>
      <c r="E19" s="106">
        <v>8.68</v>
      </c>
      <c r="F19" s="86"/>
      <c r="G19" s="62"/>
      <c r="H19" s="63"/>
      <c r="I19" s="86"/>
      <c r="J19" s="62"/>
      <c r="K19" s="63"/>
      <c r="L19" s="86"/>
      <c r="M19" s="62"/>
      <c r="N19" s="63"/>
      <c r="O19" s="86"/>
      <c r="P19" s="62"/>
      <c r="Q19" s="63"/>
      <c r="R19" s="86"/>
      <c r="S19" s="62"/>
      <c r="T19" s="63"/>
      <c r="U19" s="86"/>
      <c r="V19" s="62"/>
      <c r="W19" s="63"/>
      <c r="X19" s="86"/>
      <c r="Y19" s="62"/>
      <c r="Z19" s="63"/>
      <c r="AA19" s="86"/>
      <c r="AB19" s="62"/>
      <c r="AC19" s="63"/>
      <c r="AD19" s="86"/>
      <c r="AE19" s="62"/>
      <c r="AF19" s="63"/>
      <c r="AG19" s="86"/>
      <c r="AH19" s="62"/>
      <c r="AI19" s="63"/>
      <c r="AJ19" s="86"/>
      <c r="AK19" s="62"/>
      <c r="AL19" s="63"/>
    </row>
    <row r="20" spans="3:38" ht="15" customHeight="1" x14ac:dyDescent="0.25">
      <c r="C20" s="104">
        <v>45716</v>
      </c>
      <c r="D20" s="89" t="s">
        <v>148</v>
      </c>
      <c r="E20" s="106">
        <v>170</v>
      </c>
      <c r="F20" s="86"/>
      <c r="G20" s="62"/>
      <c r="H20" s="63"/>
      <c r="I20" s="86"/>
      <c r="J20" s="62"/>
      <c r="K20" s="63"/>
      <c r="L20" s="86"/>
      <c r="M20" s="62"/>
      <c r="N20" s="63"/>
      <c r="O20" s="86"/>
      <c r="P20" s="62"/>
      <c r="Q20" s="63"/>
      <c r="R20" s="86"/>
      <c r="S20" s="62"/>
      <c r="T20" s="63"/>
      <c r="U20" s="86"/>
      <c r="V20" s="62"/>
      <c r="W20" s="63"/>
      <c r="X20" s="86"/>
      <c r="Y20" s="62"/>
      <c r="Z20" s="63"/>
      <c r="AA20" s="86"/>
      <c r="AB20" s="62"/>
      <c r="AC20" s="63"/>
      <c r="AD20" s="86"/>
      <c r="AE20" s="62"/>
      <c r="AF20" s="63"/>
      <c r="AG20" s="86"/>
      <c r="AH20" s="62"/>
      <c r="AI20" s="63"/>
      <c r="AJ20" s="86"/>
      <c r="AK20" s="62"/>
      <c r="AL20" s="63"/>
    </row>
    <row r="21" spans="3:38" ht="15" customHeight="1" x14ac:dyDescent="0.25">
      <c r="C21" s="104">
        <v>45716</v>
      </c>
      <c r="D21" s="90" t="s">
        <v>121</v>
      </c>
      <c r="E21" s="107">
        <v>88.49</v>
      </c>
      <c r="F21" s="86"/>
      <c r="G21" s="64"/>
      <c r="H21" s="43"/>
      <c r="I21" s="86"/>
      <c r="J21" s="64"/>
      <c r="K21" s="43"/>
      <c r="L21" s="86"/>
      <c r="M21" s="64"/>
      <c r="N21" s="43"/>
      <c r="O21" s="86"/>
      <c r="P21" s="64"/>
      <c r="Q21" s="43"/>
      <c r="R21" s="86"/>
      <c r="S21" s="64"/>
      <c r="T21" s="43"/>
      <c r="U21" s="86"/>
      <c r="V21" s="64"/>
      <c r="W21" s="43"/>
      <c r="X21" s="86"/>
      <c r="Y21" s="64"/>
      <c r="Z21" s="43"/>
      <c r="AA21" s="86"/>
      <c r="AB21" s="64"/>
      <c r="AC21" s="43"/>
      <c r="AD21" s="86"/>
      <c r="AE21" s="64"/>
      <c r="AF21" s="43"/>
      <c r="AG21" s="86"/>
      <c r="AH21" s="64"/>
      <c r="AI21" s="43"/>
      <c r="AJ21" s="86"/>
      <c r="AK21" s="64"/>
      <c r="AL21" s="43"/>
    </row>
    <row r="22" spans="3:38" ht="15" customHeight="1" x14ac:dyDescent="0.25">
      <c r="C22" s="104">
        <v>45715</v>
      </c>
      <c r="D22" s="90" t="s">
        <v>133</v>
      </c>
      <c r="E22" s="105">
        <v>27</v>
      </c>
      <c r="F22" s="86"/>
      <c r="G22" s="64"/>
      <c r="H22" s="54"/>
      <c r="I22" s="86"/>
      <c r="J22" s="64"/>
      <c r="K22" s="54"/>
      <c r="L22" s="86"/>
      <c r="M22" s="64"/>
      <c r="N22" s="54"/>
      <c r="O22" s="86"/>
      <c r="P22" s="64"/>
      <c r="Q22" s="54"/>
      <c r="R22" s="86"/>
      <c r="S22" s="64"/>
      <c r="T22" s="54"/>
      <c r="U22" s="86"/>
      <c r="V22" s="64"/>
      <c r="W22" s="54"/>
      <c r="X22" s="86"/>
      <c r="Y22" s="64"/>
      <c r="Z22" s="54"/>
      <c r="AA22" s="86"/>
      <c r="AB22" s="64"/>
      <c r="AC22" s="54"/>
      <c r="AD22" s="86"/>
      <c r="AE22" s="64"/>
      <c r="AF22" s="54"/>
      <c r="AG22" s="86"/>
      <c r="AH22" s="64"/>
      <c r="AI22" s="54"/>
      <c r="AJ22" s="86"/>
      <c r="AK22" s="64"/>
      <c r="AL22" s="54"/>
    </row>
    <row r="23" spans="3:38" ht="15" customHeight="1" x14ac:dyDescent="0.25">
      <c r="C23" s="104">
        <v>45715</v>
      </c>
      <c r="D23" s="90" t="s">
        <v>31</v>
      </c>
      <c r="E23" s="105">
        <v>154.43</v>
      </c>
      <c r="F23" s="86"/>
      <c r="G23" s="64"/>
      <c r="H23" s="54"/>
      <c r="I23" s="86"/>
      <c r="J23" s="64"/>
      <c r="K23" s="54"/>
      <c r="L23" s="86"/>
      <c r="M23" s="64"/>
      <c r="N23" s="54"/>
      <c r="O23" s="86"/>
      <c r="P23" s="64"/>
      <c r="Q23" s="54"/>
      <c r="R23" s="86"/>
      <c r="S23" s="64"/>
      <c r="T23" s="54"/>
      <c r="U23" s="86"/>
      <c r="V23" s="64"/>
      <c r="W23" s="54"/>
      <c r="X23" s="86"/>
      <c r="Y23" s="64"/>
      <c r="Z23" s="54"/>
      <c r="AA23" s="86"/>
      <c r="AB23" s="64"/>
      <c r="AC23" s="54"/>
      <c r="AD23" s="86"/>
      <c r="AE23" s="64"/>
      <c r="AF23" s="54"/>
      <c r="AG23" s="86"/>
      <c r="AH23" s="64"/>
      <c r="AI23" s="54"/>
      <c r="AJ23" s="86"/>
      <c r="AK23" s="64"/>
      <c r="AL23" s="54"/>
    </row>
    <row r="24" spans="3:38" ht="15" customHeight="1" x14ac:dyDescent="0.25">
      <c r="C24" s="86"/>
      <c r="D24" s="64"/>
      <c r="E24" s="54"/>
      <c r="F24" s="86"/>
      <c r="G24" s="64"/>
      <c r="H24" s="54"/>
      <c r="I24" s="86"/>
      <c r="J24" s="64"/>
      <c r="K24" s="54"/>
      <c r="L24" s="86"/>
      <c r="M24" s="64"/>
      <c r="N24" s="54"/>
      <c r="O24" s="86"/>
      <c r="P24" s="64"/>
      <c r="Q24" s="54"/>
      <c r="R24" s="86"/>
      <c r="S24" s="64"/>
      <c r="T24" s="54"/>
      <c r="U24" s="86"/>
      <c r="V24" s="64"/>
      <c r="W24" s="54"/>
      <c r="X24" s="86"/>
      <c r="Y24" s="64"/>
      <c r="Z24" s="54"/>
      <c r="AA24" s="86"/>
      <c r="AB24" s="64"/>
      <c r="AC24" s="54"/>
      <c r="AD24" s="86"/>
      <c r="AE24" s="64"/>
      <c r="AF24" s="54"/>
      <c r="AG24" s="86"/>
      <c r="AH24" s="64"/>
      <c r="AI24" s="54"/>
      <c r="AJ24" s="86"/>
      <c r="AK24" s="64"/>
      <c r="AL24" s="54"/>
    </row>
    <row r="25" spans="3:38" ht="15" customHeight="1" x14ac:dyDescent="0.25">
      <c r="C25" s="86"/>
      <c r="D25" s="64"/>
      <c r="E25" s="54"/>
      <c r="F25" s="86"/>
      <c r="G25" s="64"/>
      <c r="H25" s="54"/>
      <c r="I25" s="86"/>
      <c r="J25" s="64"/>
      <c r="K25" s="54"/>
      <c r="L25" s="86"/>
      <c r="M25" s="64"/>
      <c r="N25" s="54"/>
      <c r="O25" s="86"/>
      <c r="P25" s="64"/>
      <c r="Q25" s="54"/>
      <c r="R25" s="86"/>
      <c r="S25" s="64"/>
      <c r="T25" s="54"/>
      <c r="U25" s="86"/>
      <c r="V25" s="64"/>
      <c r="W25" s="54"/>
      <c r="X25" s="86"/>
      <c r="Y25" s="64"/>
      <c r="Z25" s="54"/>
      <c r="AA25" s="86"/>
      <c r="AB25" s="64"/>
      <c r="AC25" s="54"/>
      <c r="AD25" s="86"/>
      <c r="AE25" s="64"/>
      <c r="AF25" s="54"/>
      <c r="AG25" s="86"/>
      <c r="AH25" s="64"/>
      <c r="AI25" s="54"/>
      <c r="AJ25" s="86"/>
      <c r="AK25" s="64"/>
      <c r="AL25" s="54"/>
    </row>
    <row r="26" spans="3:38" ht="15" customHeight="1" x14ac:dyDescent="0.25">
      <c r="C26" s="69"/>
      <c r="D26" s="64"/>
      <c r="E26" s="54"/>
      <c r="F26" s="69"/>
      <c r="G26" s="64"/>
      <c r="H26" s="54"/>
      <c r="I26" s="69"/>
      <c r="J26" s="64"/>
      <c r="K26" s="54"/>
      <c r="L26" s="69"/>
      <c r="M26" s="64"/>
      <c r="N26" s="54"/>
      <c r="O26" s="69"/>
      <c r="P26" s="64"/>
      <c r="Q26" s="54"/>
      <c r="R26" s="69"/>
      <c r="S26" s="64"/>
      <c r="T26" s="54"/>
      <c r="U26" s="69"/>
      <c r="V26" s="64"/>
      <c r="W26" s="54"/>
      <c r="X26" s="69"/>
      <c r="Y26" s="64"/>
      <c r="Z26" s="54"/>
      <c r="AA26" s="69"/>
      <c r="AB26" s="64"/>
      <c r="AC26" s="54"/>
      <c r="AD26" s="69"/>
      <c r="AE26" s="64"/>
      <c r="AF26" s="54"/>
      <c r="AG26" s="69"/>
      <c r="AH26" s="64"/>
      <c r="AI26" s="54"/>
      <c r="AJ26" s="69"/>
      <c r="AK26" s="64"/>
      <c r="AL26" s="54"/>
    </row>
    <row r="27" spans="3:38" ht="15" customHeight="1" x14ac:dyDescent="0.25">
      <c r="C27" s="52"/>
      <c r="D27" s="64"/>
      <c r="E27" s="54"/>
      <c r="F27" s="52"/>
      <c r="G27" s="64"/>
      <c r="H27" s="54"/>
      <c r="I27" s="52"/>
      <c r="J27" s="64"/>
      <c r="K27" s="54"/>
      <c r="L27" s="52"/>
      <c r="M27" s="64"/>
      <c r="N27" s="54"/>
      <c r="O27" s="52"/>
      <c r="P27" s="64"/>
      <c r="Q27" s="54"/>
      <c r="R27" s="52"/>
      <c r="S27" s="64"/>
      <c r="T27" s="54"/>
      <c r="U27" s="52"/>
      <c r="V27" s="64"/>
      <c r="W27" s="54"/>
      <c r="X27" s="52"/>
      <c r="Y27" s="64"/>
      <c r="Z27" s="54"/>
      <c r="AA27" s="52"/>
      <c r="AB27" s="64"/>
      <c r="AC27" s="54"/>
      <c r="AD27" s="52"/>
      <c r="AE27" s="64"/>
      <c r="AF27" s="54"/>
      <c r="AG27" s="52"/>
      <c r="AH27" s="64"/>
      <c r="AI27" s="54"/>
      <c r="AJ27" s="52"/>
      <c r="AK27" s="64"/>
      <c r="AL27" s="54"/>
    </row>
    <row r="28" spans="3:38" ht="15" customHeight="1" thickBot="1" x14ac:dyDescent="0.3">
      <c r="C28" s="70"/>
      <c r="D28" s="71"/>
      <c r="E28" s="72"/>
      <c r="F28" s="70"/>
      <c r="G28" s="71"/>
      <c r="H28" s="72"/>
      <c r="I28" s="70"/>
      <c r="J28" s="71"/>
      <c r="K28" s="72"/>
      <c r="L28" s="70"/>
      <c r="M28" s="71"/>
      <c r="N28" s="72"/>
      <c r="O28" s="70"/>
      <c r="P28" s="71"/>
      <c r="Q28" s="72"/>
      <c r="R28" s="70"/>
      <c r="S28" s="71"/>
      <c r="T28" s="72"/>
      <c r="U28" s="70"/>
      <c r="V28" s="71"/>
      <c r="W28" s="72"/>
      <c r="X28" s="70"/>
      <c r="Y28" s="71"/>
      <c r="Z28" s="72"/>
      <c r="AA28" s="70"/>
      <c r="AB28" s="71"/>
      <c r="AC28" s="72"/>
      <c r="AD28" s="70"/>
      <c r="AE28" s="71"/>
      <c r="AF28" s="72"/>
      <c r="AG28" s="70"/>
      <c r="AH28" s="71"/>
      <c r="AI28" s="72"/>
      <c r="AJ28" s="70"/>
      <c r="AK28" s="71"/>
      <c r="AL28" s="72"/>
    </row>
    <row r="29" spans="3:38" ht="15" customHeight="1" thickBot="1" x14ac:dyDescent="0.3">
      <c r="E29" s="73">
        <f>SUM(E2:E28)</f>
        <v>1685.0990000000004</v>
      </c>
      <c r="H29" s="73">
        <f>SUM(H2:H28)</f>
        <v>948.46900000000005</v>
      </c>
      <c r="K29" s="73">
        <f>SUM(K2:K28)</f>
        <v>948.46900000000005</v>
      </c>
      <c r="N29" s="73">
        <f>SUM(N2:N28)</f>
        <v>1309.6990000000001</v>
      </c>
      <c r="Q29" s="73">
        <f>SUM(Q2:Q28)</f>
        <v>456.88900000000001</v>
      </c>
      <c r="T29" s="73">
        <f>SUM(T2:T28)</f>
        <v>784.65566666666666</v>
      </c>
      <c r="W29" s="73">
        <f>SUM(W2:W28)</f>
        <v>784.65566666666666</v>
      </c>
      <c r="Z29" s="73">
        <f>SUM(Z2:Z28)</f>
        <v>632.65566666666666</v>
      </c>
      <c r="AC29" s="73">
        <f>SUM(AC2:AC28)</f>
        <v>0</v>
      </c>
      <c r="AF29" s="73">
        <f>SUM(AF2:AF28)</f>
        <v>0</v>
      </c>
      <c r="AI29" s="73">
        <f>SUM(AI2:AI28)</f>
        <v>0</v>
      </c>
      <c r="AL29" s="73">
        <f>SUM(AL2:AL28)</f>
        <v>0</v>
      </c>
    </row>
    <row r="30" spans="3:38" ht="15" customHeight="1" x14ac:dyDescent="0.25"/>
    <row r="31" spans="3:38" ht="15" customHeight="1" x14ac:dyDescent="0.25"/>
    <row r="32" spans="3:38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</sheetData>
  <sortState xmlns:xlrd2="http://schemas.microsoft.com/office/spreadsheetml/2017/richdata2" ref="L3:N13">
    <sortCondition ref="L3:L13"/>
  </sortState>
  <mergeCells count="12">
    <mergeCell ref="C1:E1"/>
    <mergeCell ref="F1:H1"/>
    <mergeCell ref="I1:K1"/>
    <mergeCell ref="AA1:AC1"/>
    <mergeCell ref="AD1:AF1"/>
    <mergeCell ref="AG1:AI1"/>
    <mergeCell ref="AJ1:AL1"/>
    <mergeCell ref="L1:N1"/>
    <mergeCell ref="O1:Q1"/>
    <mergeCell ref="R1:T1"/>
    <mergeCell ref="U1:W1"/>
    <mergeCell ref="X1:Z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46"/>
  <sheetViews>
    <sheetView zoomScale="110" zoomScaleNormal="110" workbookViewId="0">
      <pane xSplit="2" ySplit="1" topLeftCell="L2" activePane="bottomRight" state="frozen"/>
      <selection activeCell="CE31" sqref="CE31"/>
      <selection pane="topRight" activeCell="CE31" sqref="CE31"/>
      <selection pane="bottomLeft" activeCell="CE31" sqref="CE31"/>
      <selection pane="bottomRight" activeCell="R24" sqref="R24"/>
    </sheetView>
  </sheetViews>
  <sheetFormatPr defaultRowHeight="12.75" x14ac:dyDescent="0.25"/>
  <cols>
    <col min="1" max="1" width="17.5703125" style="50" customWidth="1"/>
    <col min="2" max="2" width="10.85546875" style="50" customWidth="1"/>
    <col min="3" max="9" width="9.140625" style="50"/>
    <col min="10" max="10" width="18.42578125" style="50" bestFit="1" customWidth="1"/>
    <col min="11" max="12" width="9.140625" style="50"/>
    <col min="13" max="13" width="18.42578125" style="50" bestFit="1" customWidth="1"/>
    <col min="14" max="15" width="9.140625" style="50"/>
    <col min="16" max="16" width="18.42578125" style="50" bestFit="1" customWidth="1"/>
    <col min="17" max="16384" width="9.140625" style="50"/>
  </cols>
  <sheetData>
    <row r="1" spans="1:38" ht="15" customHeight="1" thickBot="1" x14ac:dyDescent="0.3">
      <c r="A1" s="33" t="s">
        <v>23</v>
      </c>
      <c r="B1" s="33" t="s">
        <v>0</v>
      </c>
      <c r="C1" s="156">
        <v>45748</v>
      </c>
      <c r="D1" s="157"/>
      <c r="E1" s="155"/>
      <c r="F1" s="156">
        <f>C1+31</f>
        <v>45779</v>
      </c>
      <c r="G1" s="157"/>
      <c r="H1" s="155"/>
      <c r="I1" s="156">
        <f>F1+31</f>
        <v>45810</v>
      </c>
      <c r="J1" s="157"/>
      <c r="K1" s="155"/>
      <c r="L1" s="156">
        <f>I1+31</f>
        <v>45841</v>
      </c>
      <c r="M1" s="157"/>
      <c r="N1" s="155"/>
      <c r="O1" s="156">
        <f>L1+31</f>
        <v>45872</v>
      </c>
      <c r="P1" s="157"/>
      <c r="Q1" s="155"/>
      <c r="R1" s="156">
        <f>O1+31</f>
        <v>45903</v>
      </c>
      <c r="S1" s="157"/>
      <c r="T1" s="155"/>
      <c r="U1" s="156">
        <f>R1+31</f>
        <v>45934</v>
      </c>
      <c r="V1" s="157"/>
      <c r="W1" s="155"/>
      <c r="X1" s="156">
        <f>U1+31</f>
        <v>45965</v>
      </c>
      <c r="Y1" s="157"/>
      <c r="Z1" s="155"/>
      <c r="AA1" s="156">
        <f t="shared" ref="AA1" si="0">X1+31</f>
        <v>45996</v>
      </c>
      <c r="AB1" s="157"/>
      <c r="AC1" s="155"/>
      <c r="AD1" s="156">
        <f t="shared" ref="AD1" si="1">AA1+31</f>
        <v>46027</v>
      </c>
      <c r="AE1" s="157"/>
      <c r="AF1" s="155"/>
      <c r="AG1" s="156">
        <f t="shared" ref="AG1" si="2">AD1+31</f>
        <v>46058</v>
      </c>
      <c r="AH1" s="157"/>
      <c r="AI1" s="155"/>
      <c r="AJ1" s="156">
        <f t="shared" ref="AJ1" si="3">AG1+31</f>
        <v>46089</v>
      </c>
      <c r="AK1" s="157"/>
      <c r="AL1" s="155"/>
    </row>
    <row r="2" spans="1:38" ht="15" customHeight="1" thickBot="1" x14ac:dyDescent="0.3">
      <c r="A2" s="35" t="s">
        <v>12</v>
      </c>
      <c r="B2" s="55"/>
      <c r="C2" s="56" t="s">
        <v>24</v>
      </c>
      <c r="D2" s="57" t="s">
        <v>41</v>
      </c>
      <c r="E2" s="58" t="s">
        <v>0</v>
      </c>
      <c r="F2" s="56" t="s">
        <v>24</v>
      </c>
      <c r="G2" s="57" t="s">
        <v>41</v>
      </c>
      <c r="H2" s="58" t="s">
        <v>0</v>
      </c>
      <c r="I2" s="56" t="s">
        <v>24</v>
      </c>
      <c r="J2" s="57" t="s">
        <v>41</v>
      </c>
      <c r="K2" s="58" t="s">
        <v>0</v>
      </c>
      <c r="L2" s="56" t="s">
        <v>24</v>
      </c>
      <c r="M2" s="57" t="s">
        <v>41</v>
      </c>
      <c r="N2" s="58" t="s">
        <v>0</v>
      </c>
      <c r="O2" s="56" t="s">
        <v>24</v>
      </c>
      <c r="P2" s="57" t="s">
        <v>41</v>
      </c>
      <c r="Q2" s="58" t="s">
        <v>0</v>
      </c>
      <c r="R2" s="56" t="s">
        <v>24</v>
      </c>
      <c r="S2" s="57" t="s">
        <v>41</v>
      </c>
      <c r="T2" s="58" t="s">
        <v>0</v>
      </c>
      <c r="U2" s="56" t="s">
        <v>24</v>
      </c>
      <c r="V2" s="57" t="s">
        <v>41</v>
      </c>
      <c r="W2" s="58" t="s">
        <v>0</v>
      </c>
      <c r="X2" s="56" t="s">
        <v>24</v>
      </c>
      <c r="Y2" s="57" t="s">
        <v>41</v>
      </c>
      <c r="Z2" s="58" t="s">
        <v>0</v>
      </c>
      <c r="AA2" s="56" t="s">
        <v>24</v>
      </c>
      <c r="AB2" s="57" t="s">
        <v>41</v>
      </c>
      <c r="AC2" s="58" t="s">
        <v>0</v>
      </c>
      <c r="AD2" s="56" t="s">
        <v>24</v>
      </c>
      <c r="AE2" s="57" t="s">
        <v>41</v>
      </c>
      <c r="AF2" s="58" t="s">
        <v>0</v>
      </c>
      <c r="AG2" s="56" t="s">
        <v>24</v>
      </c>
      <c r="AH2" s="57" t="s">
        <v>41</v>
      </c>
      <c r="AI2" s="58" t="s">
        <v>0</v>
      </c>
      <c r="AJ2" s="56" t="s">
        <v>24</v>
      </c>
      <c r="AK2" s="57" t="s">
        <v>41</v>
      </c>
      <c r="AL2" s="58" t="s">
        <v>0</v>
      </c>
    </row>
    <row r="3" spans="1:38" ht="15" customHeight="1" x14ac:dyDescent="0.25">
      <c r="A3" s="59" t="s">
        <v>26</v>
      </c>
      <c r="B3" s="55">
        <v>0</v>
      </c>
      <c r="C3" s="102">
        <f>C1</f>
        <v>45748</v>
      </c>
      <c r="D3" s="94" t="s">
        <v>42</v>
      </c>
      <c r="E3" s="103">
        <v>3</v>
      </c>
      <c r="F3" s="102">
        <f>F1</f>
        <v>45779</v>
      </c>
      <c r="G3" s="94" t="s">
        <v>42</v>
      </c>
      <c r="H3" s="103">
        <v>3</v>
      </c>
      <c r="I3" s="102">
        <f>I1</f>
        <v>45810</v>
      </c>
      <c r="J3" s="94" t="s">
        <v>42</v>
      </c>
      <c r="K3" s="103">
        <v>3</v>
      </c>
      <c r="L3" s="102">
        <f>L1</f>
        <v>45841</v>
      </c>
      <c r="M3" s="94" t="s">
        <v>42</v>
      </c>
      <c r="N3" s="103">
        <v>3</v>
      </c>
      <c r="O3" s="102">
        <v>45498</v>
      </c>
      <c r="P3" s="152" t="s">
        <v>89</v>
      </c>
      <c r="Q3" s="103">
        <v>69.900000000000006</v>
      </c>
      <c r="R3" s="87">
        <f>R1</f>
        <v>45903</v>
      </c>
      <c r="S3" s="60" t="s">
        <v>42</v>
      </c>
      <c r="T3" s="61">
        <v>3</v>
      </c>
      <c r="U3" s="87">
        <f>U1</f>
        <v>45934</v>
      </c>
      <c r="V3" s="60" t="s">
        <v>42</v>
      </c>
      <c r="W3" s="61">
        <v>3</v>
      </c>
      <c r="X3" s="87">
        <f>X1</f>
        <v>45965</v>
      </c>
      <c r="Y3" s="60" t="s">
        <v>42</v>
      </c>
      <c r="Z3" s="61">
        <v>3</v>
      </c>
      <c r="AA3" s="87">
        <f t="shared" ref="AA3" si="4">AA1</f>
        <v>45996</v>
      </c>
      <c r="AB3" s="60" t="s">
        <v>42</v>
      </c>
      <c r="AC3" s="61">
        <v>3</v>
      </c>
      <c r="AD3" s="87">
        <f t="shared" ref="AD3" si="5">AD1</f>
        <v>46027</v>
      </c>
      <c r="AE3" s="60" t="s">
        <v>42</v>
      </c>
      <c r="AF3" s="61">
        <v>3</v>
      </c>
      <c r="AG3" s="87">
        <f t="shared" ref="AG3" si="6">AG1</f>
        <v>46058</v>
      </c>
      <c r="AH3" s="60" t="s">
        <v>42</v>
      </c>
      <c r="AI3" s="61">
        <v>3</v>
      </c>
      <c r="AJ3" s="87">
        <f t="shared" ref="AJ3" si="7">AJ1</f>
        <v>46089</v>
      </c>
      <c r="AK3" s="60" t="s">
        <v>42</v>
      </c>
      <c r="AL3" s="61">
        <v>3</v>
      </c>
    </row>
    <row r="4" spans="1:38" ht="15" customHeight="1" x14ac:dyDescent="0.25">
      <c r="A4" s="59" t="s">
        <v>27</v>
      </c>
      <c r="B4" s="55">
        <v>0</v>
      </c>
      <c r="C4" s="104">
        <v>45498</v>
      </c>
      <c r="D4" s="89" t="s">
        <v>85</v>
      </c>
      <c r="E4" s="106">
        <v>69.900000000000006</v>
      </c>
      <c r="F4" s="104">
        <v>45498</v>
      </c>
      <c r="G4" s="89" t="s">
        <v>86</v>
      </c>
      <c r="H4" s="106">
        <v>69.900000000000006</v>
      </c>
      <c r="I4" s="104">
        <v>45498</v>
      </c>
      <c r="J4" s="89" t="s">
        <v>87</v>
      </c>
      <c r="K4" s="106">
        <v>69.900000000000006</v>
      </c>
      <c r="L4" s="104">
        <v>45498</v>
      </c>
      <c r="M4" s="89" t="s">
        <v>88</v>
      </c>
      <c r="N4" s="106">
        <v>69.900000000000006</v>
      </c>
      <c r="O4" s="104">
        <v>45541</v>
      </c>
      <c r="P4" s="90" t="s">
        <v>92</v>
      </c>
      <c r="Q4" s="116">
        <v>19.899999999999999</v>
      </c>
      <c r="R4" s="86">
        <v>45544</v>
      </c>
      <c r="S4" s="62" t="s">
        <v>99</v>
      </c>
      <c r="T4" s="63">
        <v>80</v>
      </c>
      <c r="U4" s="86">
        <v>45544</v>
      </c>
      <c r="V4" s="62" t="s">
        <v>99</v>
      </c>
      <c r="W4" s="63">
        <v>80</v>
      </c>
      <c r="X4" s="86">
        <v>45544</v>
      </c>
      <c r="Y4" s="62" t="s">
        <v>99</v>
      </c>
      <c r="Z4" s="63">
        <v>80</v>
      </c>
      <c r="AA4" s="86">
        <v>45545</v>
      </c>
      <c r="AB4" s="62" t="s">
        <v>99</v>
      </c>
      <c r="AC4" s="63">
        <v>80</v>
      </c>
      <c r="AD4" s="86">
        <v>45546</v>
      </c>
      <c r="AE4" s="62" t="s">
        <v>99</v>
      </c>
      <c r="AF4" s="63">
        <v>80</v>
      </c>
      <c r="AG4" s="86">
        <v>45547</v>
      </c>
      <c r="AH4" s="62" t="s">
        <v>99</v>
      </c>
      <c r="AI4" s="63">
        <v>80</v>
      </c>
      <c r="AJ4" s="86">
        <v>45548</v>
      </c>
      <c r="AK4" s="62" t="s">
        <v>99</v>
      </c>
      <c r="AL4" s="63">
        <v>80</v>
      </c>
    </row>
    <row r="5" spans="1:38" ht="15" customHeight="1" x14ac:dyDescent="0.25">
      <c r="A5" s="35" t="s">
        <v>43</v>
      </c>
      <c r="B5" s="55"/>
      <c r="C5" s="104">
        <v>45541</v>
      </c>
      <c r="D5" s="90" t="s">
        <v>92</v>
      </c>
      <c r="E5" s="107">
        <v>19.899999999999999</v>
      </c>
      <c r="F5" s="104">
        <v>45541</v>
      </c>
      <c r="G5" s="90" t="s">
        <v>92</v>
      </c>
      <c r="H5" s="107">
        <v>19.899999999999999</v>
      </c>
      <c r="I5" s="104">
        <v>45541</v>
      </c>
      <c r="J5" s="90" t="s">
        <v>92</v>
      </c>
      <c r="K5" s="107">
        <v>19.899999999999999</v>
      </c>
      <c r="L5" s="104">
        <v>45541</v>
      </c>
      <c r="M5" s="90" t="s">
        <v>92</v>
      </c>
      <c r="N5" s="107">
        <v>19.899999999999999</v>
      </c>
      <c r="O5" s="104">
        <v>45544</v>
      </c>
      <c r="P5" s="89" t="s">
        <v>99</v>
      </c>
      <c r="Q5" s="105">
        <v>80</v>
      </c>
      <c r="R5" s="86">
        <v>45835</v>
      </c>
      <c r="S5" s="53" t="s">
        <v>267</v>
      </c>
      <c r="T5" s="54">
        <f>830/4</f>
        <v>207.5</v>
      </c>
      <c r="U5" s="86">
        <v>45835</v>
      </c>
      <c r="V5" s="53" t="s">
        <v>266</v>
      </c>
      <c r="W5" s="54">
        <f>830/4</f>
        <v>207.5</v>
      </c>
      <c r="X5" s="86">
        <v>45835</v>
      </c>
      <c r="Y5" s="53" t="s">
        <v>265</v>
      </c>
      <c r="Z5" s="54">
        <f>830/4</f>
        <v>207.5</v>
      </c>
      <c r="AA5" s="86"/>
      <c r="AB5" s="64"/>
      <c r="AC5" s="43"/>
      <c r="AD5" s="86"/>
      <c r="AE5" s="64"/>
      <c r="AF5" s="43"/>
      <c r="AG5" s="86"/>
      <c r="AH5" s="64"/>
      <c r="AI5" s="43"/>
      <c r="AJ5" s="86"/>
      <c r="AK5" s="64"/>
      <c r="AL5" s="43"/>
    </row>
    <row r="6" spans="1:38" ht="15" customHeight="1" x14ac:dyDescent="0.25">
      <c r="A6" s="35" t="s">
        <v>28</v>
      </c>
      <c r="B6" s="55">
        <v>0</v>
      </c>
      <c r="C6" s="104">
        <v>45544</v>
      </c>
      <c r="D6" s="89" t="s">
        <v>99</v>
      </c>
      <c r="E6" s="106">
        <v>80</v>
      </c>
      <c r="F6" s="104">
        <v>45544</v>
      </c>
      <c r="G6" s="89" t="s">
        <v>99</v>
      </c>
      <c r="H6" s="106">
        <v>80</v>
      </c>
      <c r="I6" s="104">
        <v>45544</v>
      </c>
      <c r="J6" s="89" t="s">
        <v>99</v>
      </c>
      <c r="K6" s="106">
        <v>80</v>
      </c>
      <c r="L6" s="104">
        <v>45544</v>
      </c>
      <c r="M6" s="89" t="s">
        <v>99</v>
      </c>
      <c r="N6" s="106">
        <v>80</v>
      </c>
      <c r="O6" s="104">
        <v>45829</v>
      </c>
      <c r="P6" s="90" t="s">
        <v>44</v>
      </c>
      <c r="Q6" s="116">
        <v>59.9</v>
      </c>
      <c r="R6" s="86">
        <v>45862</v>
      </c>
      <c r="S6" s="62" t="s">
        <v>31</v>
      </c>
      <c r="T6" s="63">
        <v>100</v>
      </c>
      <c r="U6" s="86">
        <v>45861</v>
      </c>
      <c r="V6" s="64" t="s">
        <v>300</v>
      </c>
      <c r="W6" s="43">
        <f>930/3</f>
        <v>310</v>
      </c>
      <c r="X6" s="86">
        <v>45861</v>
      </c>
      <c r="Y6" s="64" t="s">
        <v>299</v>
      </c>
      <c r="Z6" s="43">
        <f>930/3</f>
        <v>310</v>
      </c>
      <c r="AA6" s="86"/>
      <c r="AB6" s="62"/>
      <c r="AC6" s="63"/>
      <c r="AD6" s="86"/>
      <c r="AE6" s="62"/>
      <c r="AF6" s="63"/>
      <c r="AG6" s="86"/>
      <c r="AH6" s="62"/>
      <c r="AI6" s="63"/>
      <c r="AJ6" s="86"/>
      <c r="AK6" s="62"/>
      <c r="AL6" s="63"/>
    </row>
    <row r="7" spans="1:38" ht="15" customHeight="1" x14ac:dyDescent="0.25">
      <c r="A7" s="35" t="s">
        <v>29</v>
      </c>
      <c r="B7" s="55">
        <v>0</v>
      </c>
      <c r="C7" s="104">
        <v>45623</v>
      </c>
      <c r="D7" s="90" t="s">
        <v>112</v>
      </c>
      <c r="E7" s="105">
        <f>1050/4</f>
        <v>262.5</v>
      </c>
      <c r="F7" s="86"/>
      <c r="G7" s="64"/>
      <c r="H7" s="43"/>
      <c r="I7" s="104">
        <v>45766</v>
      </c>
      <c r="J7" s="90" t="s">
        <v>35</v>
      </c>
      <c r="K7" s="107">
        <v>15.37</v>
      </c>
      <c r="L7" s="104">
        <v>45775</v>
      </c>
      <c r="M7" s="89" t="s">
        <v>196</v>
      </c>
      <c r="N7" s="106">
        <f>150/2</f>
        <v>75</v>
      </c>
      <c r="O7" s="104">
        <v>45830</v>
      </c>
      <c r="P7" s="90" t="s">
        <v>259</v>
      </c>
      <c r="Q7" s="107">
        <v>19.89</v>
      </c>
      <c r="R7" s="86">
        <v>45861</v>
      </c>
      <c r="S7" s="64" t="s">
        <v>298</v>
      </c>
      <c r="T7" s="43">
        <f>930/3</f>
        <v>310</v>
      </c>
      <c r="U7" s="86">
        <v>45867</v>
      </c>
      <c r="V7" s="62" t="s">
        <v>310</v>
      </c>
      <c r="W7" s="63">
        <f>407.37/3</f>
        <v>135.79</v>
      </c>
      <c r="X7" s="86">
        <v>45867</v>
      </c>
      <c r="Y7" s="62" t="s">
        <v>309</v>
      </c>
      <c r="Z7" s="63">
        <f>407.37/3</f>
        <v>135.79</v>
      </c>
      <c r="AA7" s="86"/>
      <c r="AB7" s="64"/>
      <c r="AC7" s="43"/>
      <c r="AD7" s="86"/>
      <c r="AE7" s="64"/>
      <c r="AF7" s="43"/>
      <c r="AG7" s="86"/>
      <c r="AH7" s="64"/>
      <c r="AI7" s="43"/>
      <c r="AJ7" s="86"/>
      <c r="AK7" s="64"/>
      <c r="AL7" s="43"/>
    </row>
    <row r="8" spans="1:38" ht="15" customHeight="1" x14ac:dyDescent="0.25">
      <c r="A8" s="35" t="s">
        <v>30</v>
      </c>
      <c r="B8" s="55">
        <v>0</v>
      </c>
      <c r="C8" s="104">
        <v>45710</v>
      </c>
      <c r="D8" s="90" t="s">
        <v>31</v>
      </c>
      <c r="E8" s="107">
        <v>213.94</v>
      </c>
      <c r="F8" s="86"/>
      <c r="G8" s="64"/>
      <c r="H8" s="43"/>
      <c r="I8" s="104">
        <v>45765</v>
      </c>
      <c r="J8" s="90" t="s">
        <v>33</v>
      </c>
      <c r="K8" s="107">
        <v>25</v>
      </c>
      <c r="L8" s="86"/>
      <c r="M8" s="64"/>
      <c r="N8" s="43"/>
      <c r="O8" s="104">
        <v>45830</v>
      </c>
      <c r="P8" s="90" t="s">
        <v>260</v>
      </c>
      <c r="Q8" s="107">
        <v>72.47</v>
      </c>
      <c r="R8" s="86">
        <v>45862</v>
      </c>
      <c r="S8" s="64" t="s">
        <v>31</v>
      </c>
      <c r="T8" s="43">
        <v>134.4</v>
      </c>
      <c r="U8" s="86"/>
      <c r="V8" s="64"/>
      <c r="W8" s="43"/>
      <c r="X8" s="86"/>
      <c r="Y8" s="64"/>
      <c r="Z8" s="43"/>
      <c r="AA8" s="86"/>
      <c r="AB8" s="64"/>
      <c r="AC8" s="43"/>
      <c r="AD8" s="86"/>
      <c r="AE8" s="64"/>
      <c r="AF8" s="43"/>
      <c r="AG8" s="86"/>
      <c r="AH8" s="64"/>
      <c r="AI8" s="43"/>
      <c r="AJ8" s="86"/>
      <c r="AK8" s="64"/>
      <c r="AL8" s="43"/>
    </row>
    <row r="9" spans="1:38" ht="15" customHeight="1" x14ac:dyDescent="0.25">
      <c r="A9" s="35" t="s">
        <v>32</v>
      </c>
      <c r="B9" s="55">
        <v>0</v>
      </c>
      <c r="C9" s="104">
        <v>45710</v>
      </c>
      <c r="D9" s="90" t="s">
        <v>145</v>
      </c>
      <c r="E9" s="107">
        <v>20.34</v>
      </c>
      <c r="F9" s="86"/>
      <c r="G9" s="64"/>
      <c r="H9" s="43"/>
      <c r="I9" s="104">
        <v>45765</v>
      </c>
      <c r="J9" s="90" t="s">
        <v>52</v>
      </c>
      <c r="K9" s="107">
        <v>155.09</v>
      </c>
      <c r="L9" s="86"/>
      <c r="M9" s="64"/>
      <c r="N9" s="43"/>
      <c r="O9" s="104">
        <v>45830</v>
      </c>
      <c r="P9" s="90" t="s">
        <v>262</v>
      </c>
      <c r="Q9" s="107">
        <v>9.99</v>
      </c>
      <c r="R9" s="86">
        <v>45862</v>
      </c>
      <c r="S9" s="64" t="s">
        <v>258</v>
      </c>
      <c r="T9" s="43">
        <v>31</v>
      </c>
      <c r="U9" s="86"/>
      <c r="V9" s="64"/>
      <c r="W9" s="43"/>
      <c r="X9" s="86"/>
      <c r="Y9" s="64"/>
      <c r="Z9" s="43"/>
      <c r="AA9" s="86"/>
      <c r="AB9" s="64"/>
      <c r="AC9" s="43"/>
      <c r="AD9" s="86"/>
      <c r="AE9" s="64"/>
      <c r="AF9" s="43"/>
      <c r="AG9" s="86"/>
      <c r="AH9" s="64"/>
      <c r="AI9" s="43"/>
      <c r="AJ9" s="86"/>
      <c r="AK9" s="64"/>
      <c r="AL9" s="43"/>
    </row>
    <row r="10" spans="1:38" ht="15" customHeight="1" x14ac:dyDescent="0.25">
      <c r="A10" s="35" t="s">
        <v>45</v>
      </c>
      <c r="B10" s="55">
        <v>0</v>
      </c>
      <c r="C10" s="86"/>
      <c r="D10" s="64"/>
      <c r="E10" s="43"/>
      <c r="F10" s="86"/>
      <c r="G10" s="64"/>
      <c r="H10" s="43"/>
      <c r="I10" s="104">
        <v>45766</v>
      </c>
      <c r="J10" s="90" t="s">
        <v>119</v>
      </c>
      <c r="K10" s="107">
        <v>30.98</v>
      </c>
      <c r="L10" s="86"/>
      <c r="M10" s="64"/>
      <c r="N10" s="43"/>
      <c r="O10" s="104">
        <v>45830</v>
      </c>
      <c r="P10" s="117" t="s">
        <v>55</v>
      </c>
      <c r="Q10" s="105">
        <v>14.9</v>
      </c>
      <c r="R10" s="86">
        <v>45857</v>
      </c>
      <c r="S10" s="64" t="s">
        <v>304</v>
      </c>
      <c r="T10" s="43">
        <v>30</v>
      </c>
      <c r="U10" s="86"/>
      <c r="V10" s="64"/>
      <c r="W10" s="43"/>
      <c r="X10" s="86"/>
      <c r="Y10" s="64"/>
      <c r="Z10" s="43"/>
      <c r="AA10" s="86"/>
      <c r="AB10" s="64"/>
      <c r="AC10" s="43"/>
      <c r="AD10" s="86"/>
      <c r="AE10" s="64"/>
      <c r="AF10" s="43"/>
      <c r="AG10" s="86"/>
      <c r="AH10" s="64"/>
      <c r="AI10" s="43"/>
      <c r="AJ10" s="86"/>
      <c r="AK10" s="64"/>
      <c r="AL10" s="43"/>
    </row>
    <row r="11" spans="1:38" ht="15" customHeight="1" x14ac:dyDescent="0.25">
      <c r="A11" s="35" t="s">
        <v>34</v>
      </c>
      <c r="B11" s="55">
        <v>0</v>
      </c>
      <c r="C11" s="86"/>
      <c r="D11" s="42"/>
      <c r="E11" s="43"/>
      <c r="F11" s="86"/>
      <c r="G11" s="42"/>
      <c r="H11" s="43"/>
      <c r="I11" s="104">
        <v>45769</v>
      </c>
      <c r="J11" s="108" t="s">
        <v>189</v>
      </c>
      <c r="K11" s="107">
        <v>132</v>
      </c>
      <c r="L11" s="86"/>
      <c r="M11" s="42"/>
      <c r="N11" s="43"/>
      <c r="O11" s="104">
        <v>45832</v>
      </c>
      <c r="P11" s="91" t="s">
        <v>249</v>
      </c>
      <c r="Q11" s="105">
        <v>90</v>
      </c>
      <c r="R11" s="86">
        <v>45866</v>
      </c>
      <c r="S11" s="42" t="s">
        <v>106</v>
      </c>
      <c r="T11" s="43">
        <v>40</v>
      </c>
      <c r="U11" s="86"/>
      <c r="V11" s="42"/>
      <c r="W11" s="43"/>
      <c r="X11" s="86"/>
      <c r="Y11" s="42"/>
      <c r="Z11" s="43"/>
      <c r="AA11" s="86"/>
      <c r="AB11" s="42"/>
      <c r="AC11" s="43"/>
      <c r="AD11" s="86"/>
      <c r="AE11" s="42"/>
      <c r="AF11" s="43"/>
      <c r="AG11" s="86"/>
      <c r="AH11" s="42"/>
      <c r="AI11" s="43"/>
      <c r="AJ11" s="86"/>
      <c r="AK11" s="42"/>
      <c r="AL11" s="43"/>
    </row>
    <row r="12" spans="1:38" ht="15" customHeight="1" x14ac:dyDescent="0.25">
      <c r="A12" s="35" t="s">
        <v>36</v>
      </c>
      <c r="B12" s="55">
        <v>0</v>
      </c>
      <c r="C12" s="86"/>
      <c r="D12" s="53"/>
      <c r="E12" s="54"/>
      <c r="F12" s="86"/>
      <c r="G12" s="53"/>
      <c r="H12" s="54"/>
      <c r="I12" s="104">
        <v>45768</v>
      </c>
      <c r="J12" s="91" t="s">
        <v>190</v>
      </c>
      <c r="K12" s="105">
        <v>102</v>
      </c>
      <c r="L12" s="86"/>
      <c r="M12" s="53"/>
      <c r="N12" s="54"/>
      <c r="O12" s="104">
        <v>45833</v>
      </c>
      <c r="P12" s="134" t="s">
        <v>91</v>
      </c>
      <c r="Q12" s="105">
        <v>27</v>
      </c>
      <c r="R12" s="86">
        <v>45865</v>
      </c>
      <c r="S12" s="53" t="s">
        <v>307</v>
      </c>
      <c r="T12" s="54">
        <v>45.5</v>
      </c>
      <c r="U12" s="86"/>
      <c r="V12" s="53"/>
      <c r="W12" s="54"/>
      <c r="X12" s="86"/>
      <c r="Y12" s="53"/>
      <c r="Z12" s="54"/>
      <c r="AA12" s="86"/>
      <c r="AB12" s="53"/>
      <c r="AC12" s="54"/>
      <c r="AD12" s="86"/>
      <c r="AE12" s="53"/>
      <c r="AF12" s="54"/>
      <c r="AG12" s="86"/>
      <c r="AH12" s="53"/>
      <c r="AI12" s="54"/>
      <c r="AJ12" s="86"/>
      <c r="AK12" s="53"/>
      <c r="AL12" s="54"/>
    </row>
    <row r="13" spans="1:38" ht="15" customHeight="1" x14ac:dyDescent="0.25">
      <c r="A13" s="23" t="s">
        <v>19</v>
      </c>
      <c r="B13" s="65">
        <f>SUM(B2:B12)</f>
        <v>0</v>
      </c>
      <c r="C13" s="86"/>
      <c r="D13" s="53"/>
      <c r="E13" s="54"/>
      <c r="F13" s="86"/>
      <c r="G13" s="53"/>
      <c r="H13" s="54"/>
      <c r="I13" s="104">
        <v>45767</v>
      </c>
      <c r="J13" s="91" t="s">
        <v>191</v>
      </c>
      <c r="K13" s="105">
        <v>96.18</v>
      </c>
      <c r="L13" s="86"/>
      <c r="M13" s="53"/>
      <c r="N13" s="54"/>
      <c r="O13" s="104">
        <v>45834</v>
      </c>
      <c r="P13" s="134" t="s">
        <v>269</v>
      </c>
      <c r="Q13" s="105">
        <v>16.8</v>
      </c>
      <c r="R13" s="86">
        <v>45862</v>
      </c>
      <c r="S13" s="53" t="s">
        <v>307</v>
      </c>
      <c r="T13" s="54">
        <v>18</v>
      </c>
      <c r="U13" s="86"/>
      <c r="V13" s="53"/>
      <c r="W13" s="54"/>
      <c r="X13" s="86"/>
      <c r="Y13" s="53"/>
      <c r="Z13" s="54"/>
      <c r="AA13" s="86"/>
      <c r="AB13" s="53"/>
      <c r="AC13" s="54"/>
      <c r="AD13" s="86"/>
      <c r="AE13" s="53"/>
      <c r="AF13" s="54"/>
      <c r="AG13" s="86"/>
      <c r="AH13" s="53"/>
      <c r="AI13" s="54"/>
      <c r="AJ13" s="86"/>
      <c r="AK13" s="53"/>
      <c r="AL13" s="54"/>
    </row>
    <row r="14" spans="1:38" ht="15" customHeight="1" x14ac:dyDescent="0.25">
      <c r="C14" s="86"/>
      <c r="D14" s="53"/>
      <c r="E14" s="54"/>
      <c r="F14" s="86"/>
      <c r="G14" s="53"/>
      <c r="H14" s="54"/>
      <c r="I14" s="104">
        <v>45769</v>
      </c>
      <c r="J14" s="91" t="s">
        <v>192</v>
      </c>
      <c r="K14" s="105">
        <f>30+75.08</f>
        <v>105.08</v>
      </c>
      <c r="L14" s="86"/>
      <c r="M14" s="53"/>
      <c r="N14" s="54"/>
      <c r="O14" s="104">
        <v>45835</v>
      </c>
      <c r="P14" s="91" t="s">
        <v>132</v>
      </c>
      <c r="Q14" s="105">
        <v>69.819999999999993</v>
      </c>
      <c r="R14" s="86">
        <v>45868</v>
      </c>
      <c r="S14" s="53" t="s">
        <v>104</v>
      </c>
      <c r="T14" s="54">
        <v>36.9</v>
      </c>
      <c r="U14" s="86"/>
      <c r="V14" s="53"/>
      <c r="W14" s="54"/>
      <c r="X14" s="86"/>
      <c r="Y14" s="53"/>
      <c r="Z14" s="54"/>
      <c r="AA14" s="86"/>
      <c r="AB14" s="53"/>
      <c r="AC14" s="54"/>
      <c r="AD14" s="86"/>
      <c r="AE14" s="53"/>
      <c r="AF14" s="54"/>
      <c r="AG14" s="86"/>
      <c r="AH14" s="53"/>
      <c r="AI14" s="54"/>
      <c r="AJ14" s="86"/>
      <c r="AK14" s="53"/>
      <c r="AL14" s="54"/>
    </row>
    <row r="15" spans="1:38" ht="15" customHeight="1" x14ac:dyDescent="0.25">
      <c r="A15" s="35" t="s">
        <v>37</v>
      </c>
      <c r="B15" s="55">
        <v>30.71</v>
      </c>
      <c r="C15" s="86"/>
      <c r="D15" s="66"/>
      <c r="E15" s="63"/>
      <c r="F15" s="86"/>
      <c r="G15" s="66"/>
      <c r="H15" s="63"/>
      <c r="I15" s="104">
        <v>45769</v>
      </c>
      <c r="J15" s="92" t="s">
        <v>190</v>
      </c>
      <c r="K15" s="106">
        <v>96.4</v>
      </c>
      <c r="L15" s="86"/>
      <c r="M15" s="66"/>
      <c r="N15" s="63"/>
      <c r="O15" s="104">
        <v>45835</v>
      </c>
      <c r="P15" s="92" t="s">
        <v>264</v>
      </c>
      <c r="Q15" s="106">
        <f>830/4</f>
        <v>207.5</v>
      </c>
      <c r="R15" s="86">
        <v>45868</v>
      </c>
      <c r="S15" s="66" t="s">
        <v>100</v>
      </c>
      <c r="T15" s="63">
        <v>29</v>
      </c>
      <c r="U15" s="86"/>
      <c r="V15" s="66"/>
      <c r="W15" s="63"/>
      <c r="X15" s="86"/>
      <c r="Y15" s="66"/>
      <c r="Z15" s="63"/>
      <c r="AA15" s="86"/>
      <c r="AB15" s="66"/>
      <c r="AC15" s="63"/>
      <c r="AD15" s="86"/>
      <c r="AE15" s="66"/>
      <c r="AF15" s="63"/>
      <c r="AG15" s="86"/>
      <c r="AH15" s="66"/>
      <c r="AI15" s="63"/>
      <c r="AJ15" s="86"/>
      <c r="AK15" s="66"/>
      <c r="AL15" s="63"/>
    </row>
    <row r="16" spans="1:38" ht="15" customHeight="1" x14ac:dyDescent="0.25">
      <c r="A16" s="35" t="s">
        <v>40</v>
      </c>
      <c r="B16" s="67">
        <f>B13-B15</f>
        <v>-30.71</v>
      </c>
      <c r="C16" s="86"/>
      <c r="D16" s="68"/>
      <c r="E16" s="63"/>
      <c r="F16" s="86"/>
      <c r="G16" s="68"/>
      <c r="H16" s="63"/>
      <c r="I16" s="104">
        <v>45767</v>
      </c>
      <c r="J16" s="93" t="s">
        <v>193</v>
      </c>
      <c r="K16" s="106">
        <v>99</v>
      </c>
      <c r="L16" s="86"/>
      <c r="M16" s="68"/>
      <c r="N16" s="63"/>
      <c r="O16" s="104">
        <v>45835</v>
      </c>
      <c r="P16" s="136" t="s">
        <v>268</v>
      </c>
      <c r="Q16" s="106">
        <v>15.9</v>
      </c>
      <c r="R16" s="86">
        <v>45862</v>
      </c>
      <c r="S16" s="68" t="s">
        <v>31</v>
      </c>
      <c r="T16" s="63">
        <v>224</v>
      </c>
      <c r="U16" s="86"/>
      <c r="V16" s="68"/>
      <c r="W16" s="63"/>
      <c r="X16" s="86"/>
      <c r="Y16" s="68"/>
      <c r="Z16" s="63"/>
      <c r="AA16" s="86"/>
      <c r="AB16" s="68"/>
      <c r="AC16" s="63"/>
      <c r="AD16" s="86"/>
      <c r="AE16" s="68"/>
      <c r="AF16" s="63"/>
      <c r="AG16" s="86"/>
      <c r="AH16" s="68"/>
      <c r="AI16" s="63"/>
      <c r="AJ16" s="86"/>
      <c r="AK16" s="68"/>
      <c r="AL16" s="63"/>
    </row>
    <row r="17" spans="3:38" ht="15" customHeight="1" x14ac:dyDescent="0.25">
      <c r="C17" s="86"/>
      <c r="D17" s="62"/>
      <c r="E17" s="63"/>
      <c r="F17" s="86"/>
      <c r="G17" s="62"/>
      <c r="H17" s="63"/>
      <c r="I17" s="104">
        <v>45767</v>
      </c>
      <c r="J17" s="89" t="s">
        <v>194</v>
      </c>
      <c r="K17" s="106">
        <v>59.9</v>
      </c>
      <c r="L17" s="86"/>
      <c r="M17" s="62"/>
      <c r="N17" s="63"/>
      <c r="O17" s="104">
        <f>O15</f>
        <v>45835</v>
      </c>
      <c r="P17" s="117" t="s">
        <v>42</v>
      </c>
      <c r="Q17" s="106">
        <v>3</v>
      </c>
      <c r="R17" s="86">
        <v>45870</v>
      </c>
      <c r="S17" s="62" t="s">
        <v>78</v>
      </c>
      <c r="T17" s="63">
        <v>111.4</v>
      </c>
      <c r="U17" s="86"/>
      <c r="V17" s="62"/>
      <c r="W17" s="63"/>
      <c r="X17" s="86"/>
      <c r="Y17" s="62"/>
      <c r="Z17" s="63"/>
      <c r="AA17" s="86"/>
      <c r="AB17" s="62"/>
      <c r="AC17" s="63"/>
      <c r="AD17" s="86"/>
      <c r="AE17" s="62"/>
      <c r="AF17" s="63"/>
      <c r="AG17" s="86"/>
      <c r="AH17" s="62"/>
      <c r="AI17" s="63"/>
      <c r="AJ17" s="86"/>
      <c r="AK17" s="62"/>
      <c r="AL17" s="63"/>
    </row>
    <row r="18" spans="3:38" ht="15" customHeight="1" x14ac:dyDescent="0.25">
      <c r="C18" s="86"/>
      <c r="D18" s="62"/>
      <c r="E18" s="63"/>
      <c r="F18" s="86"/>
      <c r="G18" s="62"/>
      <c r="H18" s="63"/>
      <c r="I18" s="104">
        <v>45767</v>
      </c>
      <c r="J18" s="89" t="s">
        <v>63</v>
      </c>
      <c r="K18" s="106">
        <v>25.5</v>
      </c>
      <c r="L18" s="86"/>
      <c r="M18" s="62"/>
      <c r="N18" s="63"/>
      <c r="O18" s="104">
        <v>45835</v>
      </c>
      <c r="P18" s="89" t="s">
        <v>79</v>
      </c>
      <c r="Q18" s="106">
        <f>25.97+11.99+21.94+16.98+8.93+43.99+34.95</f>
        <v>164.75</v>
      </c>
      <c r="R18" s="86">
        <v>45870</v>
      </c>
      <c r="S18" s="62" t="s">
        <v>33</v>
      </c>
      <c r="T18" s="63">
        <v>34</v>
      </c>
      <c r="U18" s="86"/>
      <c r="V18" s="62"/>
      <c r="W18" s="63"/>
      <c r="X18" s="86"/>
      <c r="Y18" s="62"/>
      <c r="Z18" s="63"/>
      <c r="AA18" s="86"/>
      <c r="AB18" s="62"/>
      <c r="AC18" s="63"/>
      <c r="AD18" s="86"/>
      <c r="AE18" s="62"/>
      <c r="AF18" s="63"/>
      <c r="AG18" s="86"/>
      <c r="AH18" s="62"/>
      <c r="AI18" s="63"/>
      <c r="AJ18" s="86"/>
      <c r="AK18" s="62"/>
      <c r="AL18" s="63"/>
    </row>
    <row r="19" spans="3:38" ht="15" customHeight="1" x14ac:dyDescent="0.25">
      <c r="C19" s="86"/>
      <c r="D19" s="62"/>
      <c r="E19" s="63"/>
      <c r="F19" s="86"/>
      <c r="G19" s="62"/>
      <c r="H19" s="63"/>
      <c r="I19" s="104">
        <v>45766</v>
      </c>
      <c r="J19" s="89" t="s">
        <v>195</v>
      </c>
      <c r="K19" s="106">
        <v>13.6</v>
      </c>
      <c r="L19" s="86"/>
      <c r="M19" s="62"/>
      <c r="N19" s="63"/>
      <c r="O19" s="104">
        <v>45836</v>
      </c>
      <c r="P19" s="90" t="s">
        <v>81</v>
      </c>
      <c r="Q19" s="116">
        <v>39.9</v>
      </c>
      <c r="R19" s="86">
        <v>45869</v>
      </c>
      <c r="S19" s="62" t="s">
        <v>31</v>
      </c>
      <c r="T19" s="63">
        <v>100</v>
      </c>
      <c r="U19" s="86"/>
      <c r="V19" s="62"/>
      <c r="W19" s="63"/>
      <c r="X19" s="86"/>
      <c r="Y19" s="62"/>
      <c r="Z19" s="63"/>
      <c r="AA19" s="86"/>
      <c r="AB19" s="62"/>
      <c r="AC19" s="63"/>
      <c r="AD19" s="86"/>
      <c r="AE19" s="62"/>
      <c r="AF19" s="63"/>
      <c r="AG19" s="86"/>
      <c r="AH19" s="62"/>
      <c r="AI19" s="63"/>
      <c r="AJ19" s="86"/>
      <c r="AK19" s="62"/>
      <c r="AL19" s="63"/>
    </row>
    <row r="20" spans="3:38" ht="15" customHeight="1" x14ac:dyDescent="0.25">
      <c r="C20" s="86"/>
      <c r="D20" s="62"/>
      <c r="E20" s="63"/>
      <c r="F20" s="86"/>
      <c r="G20" s="62"/>
      <c r="H20" s="63"/>
      <c r="I20" s="104">
        <v>45769</v>
      </c>
      <c r="J20" s="89" t="s">
        <v>192</v>
      </c>
      <c r="K20" s="106">
        <v>30</v>
      </c>
      <c r="L20" s="86"/>
      <c r="M20" s="62"/>
      <c r="N20" s="63"/>
      <c r="O20" s="104">
        <v>45837</v>
      </c>
      <c r="P20" s="89" t="s">
        <v>272</v>
      </c>
      <c r="Q20" s="106">
        <v>109.41</v>
      </c>
      <c r="R20" s="86">
        <v>45868</v>
      </c>
      <c r="S20" s="62" t="s">
        <v>104</v>
      </c>
      <c r="T20" s="63">
        <v>36.9</v>
      </c>
      <c r="U20" s="86"/>
      <c r="V20" s="62"/>
      <c r="W20" s="63"/>
      <c r="X20" s="86"/>
      <c r="Y20" s="62"/>
      <c r="Z20" s="63"/>
      <c r="AA20" s="86"/>
      <c r="AB20" s="62"/>
      <c r="AC20" s="63"/>
      <c r="AD20" s="86"/>
      <c r="AE20" s="62"/>
      <c r="AF20" s="63"/>
      <c r="AG20" s="86"/>
      <c r="AH20" s="62"/>
      <c r="AI20" s="63"/>
      <c r="AJ20" s="86"/>
      <c r="AK20" s="62"/>
      <c r="AL20" s="63"/>
    </row>
    <row r="21" spans="3:38" ht="15" customHeight="1" x14ac:dyDescent="0.25">
      <c r="C21" s="86"/>
      <c r="D21" s="62"/>
      <c r="E21" s="63"/>
      <c r="F21" s="86"/>
      <c r="G21" s="62"/>
      <c r="H21" s="63"/>
      <c r="I21" s="104">
        <v>45775</v>
      </c>
      <c r="J21" s="89" t="s">
        <v>63</v>
      </c>
      <c r="K21" s="106">
        <v>65.900000000000006</v>
      </c>
      <c r="L21" s="86"/>
      <c r="M21" s="62"/>
      <c r="N21" s="63"/>
      <c r="O21" s="104">
        <v>45837</v>
      </c>
      <c r="P21" s="89" t="s">
        <v>33</v>
      </c>
      <c r="Q21" s="106">
        <v>32.39</v>
      </c>
      <c r="R21" s="86">
        <v>45867</v>
      </c>
      <c r="S21" s="62" t="s">
        <v>308</v>
      </c>
      <c r="T21" s="63">
        <f>407.37/3</f>
        <v>135.79</v>
      </c>
      <c r="U21" s="86"/>
      <c r="V21" s="62"/>
      <c r="W21" s="63"/>
      <c r="X21" s="86"/>
      <c r="Y21" s="62"/>
      <c r="Z21" s="63"/>
      <c r="AA21" s="86"/>
      <c r="AB21" s="62"/>
      <c r="AC21" s="63"/>
      <c r="AD21" s="86"/>
      <c r="AE21" s="62"/>
      <c r="AF21" s="63"/>
      <c r="AG21" s="86"/>
      <c r="AH21" s="62"/>
      <c r="AI21" s="63"/>
      <c r="AJ21" s="86"/>
      <c r="AK21" s="62"/>
      <c r="AL21" s="63"/>
    </row>
    <row r="22" spans="3:38" ht="15" customHeight="1" x14ac:dyDescent="0.25">
      <c r="C22" s="86"/>
      <c r="D22" s="62"/>
      <c r="E22" s="63"/>
      <c r="F22" s="86"/>
      <c r="G22" s="62"/>
      <c r="H22" s="63"/>
      <c r="I22" s="104">
        <v>45775</v>
      </c>
      <c r="J22" s="89" t="s">
        <v>196</v>
      </c>
      <c r="K22" s="106">
        <f>150/2</f>
        <v>75</v>
      </c>
      <c r="L22" s="86"/>
      <c r="M22" s="62"/>
      <c r="N22" s="63"/>
      <c r="O22" s="104">
        <v>45837</v>
      </c>
      <c r="P22" s="89" t="s">
        <v>31</v>
      </c>
      <c r="Q22" s="106">
        <v>100</v>
      </c>
      <c r="R22" s="86"/>
      <c r="S22" s="62" t="s">
        <v>334</v>
      </c>
      <c r="T22" s="63">
        <v>90</v>
      </c>
      <c r="U22" s="86"/>
      <c r="V22" s="62"/>
      <c r="W22" s="63"/>
      <c r="X22" s="86"/>
      <c r="Y22" s="62"/>
      <c r="Z22" s="63"/>
      <c r="AA22" s="86"/>
      <c r="AB22" s="62"/>
      <c r="AC22" s="63"/>
      <c r="AD22" s="86"/>
      <c r="AE22" s="62"/>
      <c r="AF22" s="63"/>
      <c r="AG22" s="86"/>
      <c r="AH22" s="62"/>
      <c r="AI22" s="63"/>
      <c r="AJ22" s="86"/>
      <c r="AK22" s="62"/>
      <c r="AL22" s="63"/>
    </row>
    <row r="23" spans="3:38" ht="15" customHeight="1" x14ac:dyDescent="0.25">
      <c r="C23" s="86"/>
      <c r="D23" s="64"/>
      <c r="E23" s="43"/>
      <c r="F23" s="86"/>
      <c r="G23" s="64"/>
      <c r="H23" s="43"/>
      <c r="I23" s="104">
        <v>45775</v>
      </c>
      <c r="J23" s="90" t="s">
        <v>197</v>
      </c>
      <c r="K23" s="107">
        <v>8</v>
      </c>
      <c r="L23" s="86"/>
      <c r="M23" s="64"/>
      <c r="N23" s="43"/>
      <c r="O23" s="104">
        <v>45838</v>
      </c>
      <c r="P23" s="89" t="s">
        <v>91</v>
      </c>
      <c r="Q23" s="105">
        <v>33</v>
      </c>
      <c r="R23" s="86">
        <v>45881</v>
      </c>
      <c r="S23" s="64" t="s">
        <v>31</v>
      </c>
      <c r="T23" s="43">
        <v>100</v>
      </c>
      <c r="U23" s="86"/>
      <c r="V23" s="64"/>
      <c r="W23" s="43"/>
      <c r="X23" s="86"/>
      <c r="Y23" s="64"/>
      <c r="Z23" s="43"/>
      <c r="AA23" s="86"/>
      <c r="AB23" s="64"/>
      <c r="AC23" s="43"/>
      <c r="AD23" s="86"/>
      <c r="AE23" s="64"/>
      <c r="AF23" s="43"/>
      <c r="AG23" s="86"/>
      <c r="AH23" s="64"/>
      <c r="AI23" s="43"/>
      <c r="AJ23" s="86"/>
      <c r="AK23" s="64"/>
      <c r="AL23" s="43"/>
    </row>
    <row r="24" spans="3:38" ht="15" customHeight="1" x14ac:dyDescent="0.25">
      <c r="C24" s="86"/>
      <c r="D24" s="64"/>
      <c r="E24" s="54"/>
      <c r="F24" s="86"/>
      <c r="G24" s="64"/>
      <c r="H24" s="54"/>
      <c r="I24" s="104">
        <v>45775</v>
      </c>
      <c r="J24" s="90" t="s">
        <v>198</v>
      </c>
      <c r="K24" s="105">
        <v>114</v>
      </c>
      <c r="L24" s="86"/>
      <c r="M24" s="64"/>
      <c r="N24" s="54"/>
      <c r="O24" s="104">
        <v>45839</v>
      </c>
      <c r="P24" s="90" t="s">
        <v>274</v>
      </c>
      <c r="Q24" s="105">
        <v>139.9</v>
      </c>
      <c r="R24" s="86"/>
      <c r="S24" s="64"/>
      <c r="T24" s="54"/>
      <c r="U24" s="86"/>
      <c r="V24" s="64"/>
      <c r="W24" s="54"/>
      <c r="X24" s="86"/>
      <c r="Y24" s="64"/>
      <c r="Z24" s="54"/>
      <c r="AA24" s="86"/>
      <c r="AB24" s="64"/>
      <c r="AC24" s="54"/>
      <c r="AD24" s="86"/>
      <c r="AE24" s="64"/>
      <c r="AF24" s="54"/>
      <c r="AG24" s="86"/>
      <c r="AH24" s="64"/>
      <c r="AI24" s="54"/>
      <c r="AJ24" s="86"/>
      <c r="AK24" s="64"/>
      <c r="AL24" s="54"/>
    </row>
    <row r="25" spans="3:38" ht="15" customHeight="1" x14ac:dyDescent="0.25">
      <c r="C25" s="86"/>
      <c r="D25" s="64"/>
      <c r="E25" s="54"/>
      <c r="F25" s="86"/>
      <c r="G25" s="64"/>
      <c r="H25" s="54"/>
      <c r="I25" s="104">
        <v>45775</v>
      </c>
      <c r="J25" s="90" t="s">
        <v>199</v>
      </c>
      <c r="K25" s="105">
        <v>68.2</v>
      </c>
      <c r="L25" s="86"/>
      <c r="M25" s="64"/>
      <c r="N25" s="54"/>
      <c r="O25" s="86"/>
      <c r="P25" s="64"/>
      <c r="Q25" s="54"/>
      <c r="R25" s="86"/>
      <c r="S25" s="64"/>
      <c r="T25" s="54"/>
      <c r="U25" s="86"/>
      <c r="V25" s="64"/>
      <c r="W25" s="54"/>
      <c r="X25" s="86"/>
      <c r="Y25" s="64"/>
      <c r="Z25" s="54"/>
      <c r="AA25" s="86"/>
      <c r="AB25" s="64"/>
      <c r="AC25" s="54"/>
      <c r="AD25" s="86"/>
      <c r="AE25" s="64"/>
      <c r="AF25" s="54"/>
      <c r="AG25" s="86"/>
      <c r="AH25" s="64"/>
      <c r="AI25" s="54"/>
      <c r="AJ25" s="86"/>
      <c r="AK25" s="64"/>
      <c r="AL25" s="54"/>
    </row>
    <row r="26" spans="3:38" ht="15" customHeight="1" x14ac:dyDescent="0.25">
      <c r="C26" s="86"/>
      <c r="D26" s="64"/>
      <c r="E26" s="54"/>
      <c r="F26" s="86"/>
      <c r="G26" s="64"/>
      <c r="H26" s="54"/>
      <c r="I26" s="104">
        <v>45774</v>
      </c>
      <c r="J26" s="90" t="s">
        <v>200</v>
      </c>
      <c r="K26" s="105">
        <v>81.400000000000006</v>
      </c>
      <c r="L26" s="86"/>
      <c r="M26" s="64"/>
      <c r="N26" s="54"/>
      <c r="O26" s="86"/>
      <c r="P26" s="64"/>
      <c r="Q26" s="54"/>
      <c r="R26" s="86"/>
      <c r="S26" s="64"/>
      <c r="T26" s="54"/>
      <c r="U26" s="86"/>
      <c r="V26" s="64"/>
      <c r="W26" s="54"/>
      <c r="X26" s="86"/>
      <c r="Y26" s="64"/>
      <c r="Z26" s="54"/>
      <c r="AA26" s="86"/>
      <c r="AB26" s="64"/>
      <c r="AC26" s="54"/>
      <c r="AD26" s="86"/>
      <c r="AE26" s="64"/>
      <c r="AF26" s="54"/>
      <c r="AG26" s="86"/>
      <c r="AH26" s="64"/>
      <c r="AI26" s="54"/>
      <c r="AJ26" s="86"/>
      <c r="AK26" s="64"/>
      <c r="AL26" s="54"/>
    </row>
    <row r="27" spans="3:38" ht="15" customHeight="1" x14ac:dyDescent="0.25">
      <c r="C27" s="86"/>
      <c r="D27" s="64"/>
      <c r="E27" s="54"/>
      <c r="F27" s="86"/>
      <c r="G27" s="64"/>
      <c r="H27" s="54"/>
      <c r="I27" s="104">
        <v>45773</v>
      </c>
      <c r="J27" s="90" t="s">
        <v>201</v>
      </c>
      <c r="K27" s="105">
        <v>66.099999999999994</v>
      </c>
      <c r="L27" s="86"/>
      <c r="M27" s="64"/>
      <c r="N27" s="54"/>
      <c r="O27" s="86"/>
      <c r="P27" s="64"/>
      <c r="Q27" s="54"/>
      <c r="R27" s="86"/>
      <c r="S27" s="64"/>
      <c r="T27" s="54"/>
      <c r="U27" s="86"/>
      <c r="V27" s="64"/>
      <c r="W27" s="54"/>
      <c r="X27" s="86"/>
      <c r="Y27" s="64"/>
      <c r="Z27" s="54"/>
      <c r="AA27" s="86"/>
      <c r="AB27" s="64"/>
      <c r="AC27" s="54"/>
      <c r="AD27" s="86"/>
      <c r="AE27" s="64"/>
      <c r="AF27" s="54"/>
      <c r="AG27" s="86"/>
      <c r="AH27" s="64"/>
      <c r="AI27" s="54"/>
      <c r="AJ27" s="86"/>
      <c r="AK27" s="64"/>
      <c r="AL27" s="54"/>
    </row>
    <row r="28" spans="3:38" ht="15" customHeight="1" x14ac:dyDescent="0.25">
      <c r="C28" s="86"/>
      <c r="D28" s="64"/>
      <c r="E28" s="54"/>
      <c r="F28" s="86"/>
      <c r="G28" s="64"/>
      <c r="H28" s="54"/>
      <c r="I28" s="104">
        <v>45773</v>
      </c>
      <c r="J28" s="90" t="s">
        <v>202</v>
      </c>
      <c r="K28" s="105">
        <f>40+55</f>
        <v>95</v>
      </c>
      <c r="L28" s="86"/>
      <c r="M28" s="64"/>
      <c r="N28" s="54"/>
      <c r="O28" s="86"/>
      <c r="P28" s="64"/>
      <c r="Q28" s="54"/>
      <c r="R28" s="86"/>
      <c r="S28" s="64"/>
      <c r="T28" s="54"/>
      <c r="U28" s="86"/>
      <c r="V28" s="64"/>
      <c r="W28" s="54"/>
      <c r="X28" s="86"/>
      <c r="Y28" s="64"/>
      <c r="Z28" s="54"/>
      <c r="AA28" s="86"/>
      <c r="AB28" s="64"/>
      <c r="AC28" s="54"/>
      <c r="AD28" s="86"/>
      <c r="AE28" s="64"/>
      <c r="AF28" s="54"/>
      <c r="AG28" s="86"/>
      <c r="AH28" s="64"/>
      <c r="AI28" s="54"/>
      <c r="AJ28" s="86"/>
      <c r="AK28" s="64"/>
      <c r="AL28" s="54"/>
    </row>
    <row r="29" spans="3:38" ht="15" customHeight="1" thickBot="1" x14ac:dyDescent="0.3">
      <c r="C29" s="70"/>
      <c r="D29" s="71"/>
      <c r="E29" s="72"/>
      <c r="F29" s="70"/>
      <c r="G29" s="71"/>
      <c r="H29" s="72"/>
      <c r="I29" s="104">
        <v>45774</v>
      </c>
      <c r="J29" s="90" t="s">
        <v>201</v>
      </c>
      <c r="K29" s="105">
        <v>100.25</v>
      </c>
      <c r="L29" s="70"/>
      <c r="M29" s="71"/>
      <c r="N29" s="72"/>
      <c r="O29" s="70"/>
      <c r="P29" s="71"/>
      <c r="Q29" s="72"/>
      <c r="R29" s="70"/>
      <c r="S29" s="71"/>
      <c r="T29" s="72"/>
      <c r="U29" s="70"/>
      <c r="V29" s="71"/>
      <c r="W29" s="72"/>
      <c r="X29" s="70"/>
      <c r="Y29" s="71"/>
      <c r="Z29" s="72"/>
      <c r="AA29" s="70"/>
      <c r="AB29" s="71"/>
      <c r="AC29" s="72"/>
      <c r="AD29" s="70"/>
      <c r="AE29" s="71"/>
      <c r="AF29" s="72"/>
      <c r="AG29" s="70"/>
      <c r="AH29" s="71"/>
      <c r="AI29" s="72"/>
      <c r="AJ29" s="70"/>
      <c r="AK29" s="71"/>
      <c r="AL29" s="72"/>
    </row>
    <row r="30" spans="3:38" ht="15" customHeight="1" thickBot="1" x14ac:dyDescent="0.3">
      <c r="E30" s="73">
        <f>SUM(E2:E29)</f>
        <v>669.58</v>
      </c>
      <c r="H30" s="73">
        <f>SUM(H2:H29)</f>
        <v>172.8</v>
      </c>
      <c r="I30" s="104">
        <v>45770</v>
      </c>
      <c r="J30" s="90" t="s">
        <v>203</v>
      </c>
      <c r="K30" s="105">
        <v>25</v>
      </c>
      <c r="N30" s="73">
        <f>SUM(N2:N29)</f>
        <v>247.8</v>
      </c>
      <c r="Q30" s="73">
        <f>SUM(Q2:Q29)</f>
        <v>1396.3200000000002</v>
      </c>
      <c r="T30" s="73">
        <f>SUM(T2:T29)</f>
        <v>1897.39</v>
      </c>
      <c r="W30" s="73">
        <f>SUM(W2:W29)</f>
        <v>736.29</v>
      </c>
      <c r="Z30" s="73">
        <f>SUM(Z2:Z29)</f>
        <v>736.29</v>
      </c>
      <c r="AC30" s="73">
        <f t="shared" ref="AC30" si="8">SUM(AC2:AC29)</f>
        <v>83</v>
      </c>
      <c r="AF30" s="73">
        <f t="shared" ref="AF30" si="9">SUM(AF2:AF29)</f>
        <v>83</v>
      </c>
      <c r="AI30" s="73">
        <f t="shared" ref="AI30" si="10">SUM(AI2:AI29)</f>
        <v>83</v>
      </c>
      <c r="AL30" s="73">
        <f t="shared" ref="AL30" si="11">SUM(AL2:AL29)</f>
        <v>83</v>
      </c>
    </row>
    <row r="31" spans="3:38" ht="15" customHeight="1" x14ac:dyDescent="0.25">
      <c r="I31" s="104">
        <v>45772</v>
      </c>
      <c r="J31" s="90" t="s">
        <v>31</v>
      </c>
      <c r="K31" s="105">
        <v>50</v>
      </c>
    </row>
    <row r="32" spans="3:38" ht="15" customHeight="1" x14ac:dyDescent="0.25">
      <c r="I32" s="104">
        <v>45770</v>
      </c>
      <c r="J32" s="90" t="s">
        <v>63</v>
      </c>
      <c r="K32" s="105">
        <v>25.5</v>
      </c>
    </row>
    <row r="33" spans="9:11" ht="15" customHeight="1" x14ac:dyDescent="0.25">
      <c r="I33" s="104">
        <v>45772</v>
      </c>
      <c r="J33" s="90" t="s">
        <v>204</v>
      </c>
      <c r="K33" s="105">
        <v>67.5</v>
      </c>
    </row>
    <row r="34" spans="9:11" ht="15" customHeight="1" x14ac:dyDescent="0.25">
      <c r="I34" s="104">
        <v>45771</v>
      </c>
      <c r="J34" s="90" t="s">
        <v>205</v>
      </c>
      <c r="K34" s="105">
        <v>127.53</v>
      </c>
    </row>
    <row r="35" spans="9:11" ht="15" customHeight="1" x14ac:dyDescent="0.25">
      <c r="I35" s="100">
        <v>45770</v>
      </c>
      <c r="J35" s="90" t="s">
        <v>206</v>
      </c>
      <c r="K35" s="106">
        <v>228</v>
      </c>
    </row>
    <row r="36" spans="9:11" ht="15" customHeight="1" x14ac:dyDescent="0.25">
      <c r="I36" s="100">
        <v>45776</v>
      </c>
      <c r="J36" s="90" t="s">
        <v>193</v>
      </c>
      <c r="K36" s="106">
        <v>116.6</v>
      </c>
    </row>
    <row r="37" spans="9:11" ht="15" customHeight="1" x14ac:dyDescent="0.25">
      <c r="I37" s="100">
        <v>45777</v>
      </c>
      <c r="J37" s="90" t="s">
        <v>207</v>
      </c>
      <c r="K37" s="106">
        <v>15</v>
      </c>
    </row>
    <row r="38" spans="9:11" ht="15" customHeight="1" x14ac:dyDescent="0.25">
      <c r="I38" s="100">
        <v>45777</v>
      </c>
      <c r="J38" s="90" t="s">
        <v>208</v>
      </c>
      <c r="K38" s="106">
        <v>119.98</v>
      </c>
    </row>
    <row r="39" spans="9:11" ht="15" customHeight="1" x14ac:dyDescent="0.25">
      <c r="I39" s="100">
        <v>45777</v>
      </c>
      <c r="J39" s="90" t="s">
        <v>201</v>
      </c>
      <c r="K39" s="106">
        <v>35.4</v>
      </c>
    </row>
    <row r="40" spans="9:11" ht="15" customHeight="1" x14ac:dyDescent="0.25">
      <c r="I40" s="100">
        <v>45777</v>
      </c>
      <c r="J40" s="90" t="s">
        <v>209</v>
      </c>
      <c r="K40" s="106">
        <v>59.99</v>
      </c>
    </row>
    <row r="41" spans="9:11" ht="15" customHeight="1" x14ac:dyDescent="0.25">
      <c r="I41" s="100">
        <v>45776</v>
      </c>
      <c r="J41" s="90" t="s">
        <v>63</v>
      </c>
      <c r="K41" s="106">
        <v>25.33</v>
      </c>
    </row>
    <row r="42" spans="9:11" ht="12.75" customHeight="1" thickBot="1" x14ac:dyDescent="0.3">
      <c r="I42" s="70"/>
      <c r="J42" s="71"/>
      <c r="K42" s="72"/>
    </row>
    <row r="43" spans="9:11" ht="13.5" thickBot="1" x14ac:dyDescent="0.3">
      <c r="K43" s="73">
        <f>SUM(K2:K42)</f>
        <v>2728.58</v>
      </c>
    </row>
    <row r="46" spans="9:11" ht="12.75" customHeight="1" x14ac:dyDescent="0.25"/>
  </sheetData>
  <sortState xmlns:xlrd2="http://schemas.microsoft.com/office/spreadsheetml/2017/richdata2" ref="O3:Q24">
    <sortCondition ref="O3:O24"/>
  </sortState>
  <mergeCells count="12">
    <mergeCell ref="U1:W1"/>
    <mergeCell ref="R1:T1"/>
    <mergeCell ref="L1:N1"/>
    <mergeCell ref="O1:Q1"/>
    <mergeCell ref="C1:E1"/>
    <mergeCell ref="F1:H1"/>
    <mergeCell ref="I1:K1"/>
    <mergeCell ref="X1:Z1"/>
    <mergeCell ref="AA1:AC1"/>
    <mergeCell ref="AD1:AF1"/>
    <mergeCell ref="AG1:AI1"/>
    <mergeCell ref="AJ1:AL1"/>
  </mergeCells>
  <pageMargins left="0.78749999999999998" right="0.78749999999999998" top="0.98402777777777795" bottom="0.98402777777777795" header="0.51180555555555496" footer="0.51180555555555496"/>
  <pageSetup paperSize="9" firstPageNumber="0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A54"/>
  <sheetViews>
    <sheetView zoomScale="115" zoomScaleNormal="115" workbookViewId="0">
      <pane xSplit="2" ySplit="2" topLeftCell="D3" activePane="bottomRight" state="frozen"/>
      <selection pane="topRight" activeCell="BD1" sqref="BD1"/>
      <selection pane="bottomLeft" activeCell="A5" sqref="A5"/>
      <selection pane="bottomRight" activeCell="M16" sqref="M16"/>
    </sheetView>
  </sheetViews>
  <sheetFormatPr defaultRowHeight="12.75" x14ac:dyDescent="0.25"/>
  <cols>
    <col min="1" max="1" width="17.5703125" style="50" customWidth="1"/>
    <col min="2" max="2" width="10.85546875" style="50" customWidth="1"/>
    <col min="3" max="3" width="9.140625" style="50"/>
    <col min="4" max="4" width="13.42578125" style="50" bestFit="1" customWidth="1"/>
    <col min="5" max="6" width="9.140625" style="50"/>
    <col min="7" max="7" width="13.42578125" style="50" bestFit="1" customWidth="1"/>
    <col min="8" max="9" width="9.140625" style="50"/>
    <col min="10" max="10" width="13.5703125" style="50" bestFit="1" customWidth="1"/>
    <col min="11" max="15" width="9.140625" style="50"/>
    <col min="16" max="16" width="13.42578125" style="50" bestFit="1" customWidth="1"/>
    <col min="17" max="16384" width="9.140625" style="50"/>
  </cols>
  <sheetData>
    <row r="1" spans="1:53" ht="15" customHeight="1" thickBot="1" x14ac:dyDescent="0.3">
      <c r="A1" s="33" t="s">
        <v>23</v>
      </c>
      <c r="B1" s="33" t="s">
        <v>0</v>
      </c>
      <c r="C1" s="155">
        <v>45748</v>
      </c>
      <c r="D1" s="155"/>
      <c r="E1" s="155"/>
      <c r="F1" s="155">
        <f>C1+31</f>
        <v>45779</v>
      </c>
      <c r="G1" s="155"/>
      <c r="H1" s="155"/>
      <c r="I1" s="155">
        <f>F1+31</f>
        <v>45810</v>
      </c>
      <c r="J1" s="155"/>
      <c r="K1" s="155"/>
      <c r="L1" s="155">
        <f>I1+31</f>
        <v>45841</v>
      </c>
      <c r="M1" s="155"/>
      <c r="N1" s="155"/>
      <c r="O1" s="155">
        <f>L1+31</f>
        <v>45872</v>
      </c>
      <c r="P1" s="155"/>
      <c r="Q1" s="155"/>
      <c r="R1" s="155">
        <f>O1+31</f>
        <v>45903</v>
      </c>
      <c r="S1" s="155"/>
      <c r="T1" s="155"/>
      <c r="U1" s="155">
        <f>R1+31</f>
        <v>45934</v>
      </c>
      <c r="V1" s="155"/>
      <c r="W1" s="155"/>
      <c r="X1" s="155">
        <f>U1+31</f>
        <v>45965</v>
      </c>
      <c r="Y1" s="155"/>
      <c r="Z1" s="155"/>
      <c r="AA1" s="155">
        <f>X1+31</f>
        <v>45996</v>
      </c>
      <c r="AB1" s="155"/>
      <c r="AC1" s="155"/>
      <c r="AD1" s="155">
        <f>AA1+31</f>
        <v>46027</v>
      </c>
      <c r="AE1" s="155"/>
      <c r="AF1" s="155"/>
      <c r="AG1" s="155">
        <f>AD1+31</f>
        <v>46058</v>
      </c>
      <c r="AH1" s="155"/>
      <c r="AI1" s="155"/>
      <c r="AJ1" s="155">
        <f>AG1+31</f>
        <v>46089</v>
      </c>
      <c r="AK1" s="155"/>
      <c r="AL1" s="155"/>
      <c r="AM1" s="155">
        <f>AJ1+31</f>
        <v>46120</v>
      </c>
      <c r="AN1" s="155"/>
      <c r="AO1" s="155"/>
      <c r="AP1" s="155">
        <f>AM1+31</f>
        <v>46151</v>
      </c>
      <c r="AQ1" s="155"/>
      <c r="AR1" s="155"/>
      <c r="AS1" s="155">
        <f>AP1+31</f>
        <v>46182</v>
      </c>
      <c r="AT1" s="155"/>
      <c r="AU1" s="155"/>
      <c r="AV1" s="155">
        <f>AS1+31</f>
        <v>46213</v>
      </c>
      <c r="AW1" s="155"/>
      <c r="AX1" s="155"/>
      <c r="AY1" s="155">
        <f>AV1+31</f>
        <v>46244</v>
      </c>
      <c r="AZ1" s="155"/>
      <c r="BA1" s="155"/>
    </row>
    <row r="2" spans="1:53" ht="15" customHeight="1" thickBot="1" x14ac:dyDescent="0.3">
      <c r="A2" s="35" t="s">
        <v>12</v>
      </c>
      <c r="B2" s="55"/>
      <c r="C2" s="56" t="s">
        <v>24</v>
      </c>
      <c r="D2" s="57" t="s">
        <v>41</v>
      </c>
      <c r="E2" s="58" t="s">
        <v>0</v>
      </c>
      <c r="F2" s="56" t="s">
        <v>24</v>
      </c>
      <c r="G2" s="57" t="s">
        <v>41</v>
      </c>
      <c r="H2" s="58" t="s">
        <v>0</v>
      </c>
      <c r="I2" s="56" t="s">
        <v>24</v>
      </c>
      <c r="J2" s="57" t="s">
        <v>41</v>
      </c>
      <c r="K2" s="58" t="s">
        <v>0</v>
      </c>
      <c r="L2" s="56" t="s">
        <v>24</v>
      </c>
      <c r="M2" s="57" t="s">
        <v>41</v>
      </c>
      <c r="N2" s="58" t="s">
        <v>0</v>
      </c>
      <c r="O2" s="56" t="s">
        <v>24</v>
      </c>
      <c r="P2" s="57" t="s">
        <v>41</v>
      </c>
      <c r="Q2" s="58" t="s">
        <v>0</v>
      </c>
      <c r="R2" s="56" t="s">
        <v>24</v>
      </c>
      <c r="S2" s="57" t="s">
        <v>41</v>
      </c>
      <c r="T2" s="58" t="s">
        <v>0</v>
      </c>
      <c r="U2" s="56" t="s">
        <v>24</v>
      </c>
      <c r="V2" s="57" t="s">
        <v>41</v>
      </c>
      <c r="W2" s="58" t="s">
        <v>0</v>
      </c>
      <c r="X2" s="56" t="s">
        <v>24</v>
      </c>
      <c r="Y2" s="57" t="s">
        <v>41</v>
      </c>
      <c r="Z2" s="58" t="s">
        <v>0</v>
      </c>
      <c r="AA2" s="56" t="s">
        <v>24</v>
      </c>
      <c r="AB2" s="57" t="s">
        <v>41</v>
      </c>
      <c r="AC2" s="58" t="s">
        <v>0</v>
      </c>
      <c r="AD2" s="56" t="s">
        <v>24</v>
      </c>
      <c r="AE2" s="57" t="s">
        <v>41</v>
      </c>
      <c r="AF2" s="58" t="s">
        <v>0</v>
      </c>
      <c r="AG2" s="56" t="s">
        <v>24</v>
      </c>
      <c r="AH2" s="57" t="s">
        <v>41</v>
      </c>
      <c r="AI2" s="58" t="s">
        <v>0</v>
      </c>
      <c r="AJ2" s="56" t="s">
        <v>24</v>
      </c>
      <c r="AK2" s="57" t="s">
        <v>41</v>
      </c>
      <c r="AL2" s="58" t="s">
        <v>0</v>
      </c>
      <c r="AM2" s="56" t="s">
        <v>24</v>
      </c>
      <c r="AN2" s="57" t="s">
        <v>41</v>
      </c>
      <c r="AO2" s="58" t="s">
        <v>0</v>
      </c>
      <c r="AP2" s="56" t="s">
        <v>24</v>
      </c>
      <c r="AQ2" s="57" t="s">
        <v>41</v>
      </c>
      <c r="AR2" s="58" t="s">
        <v>0</v>
      </c>
      <c r="AS2" s="56" t="s">
        <v>24</v>
      </c>
      <c r="AT2" s="57" t="s">
        <v>41</v>
      </c>
      <c r="AU2" s="58" t="s">
        <v>0</v>
      </c>
      <c r="AV2" s="56" t="s">
        <v>24</v>
      </c>
      <c r="AW2" s="57" t="s">
        <v>41</v>
      </c>
      <c r="AX2" s="58" t="s">
        <v>0</v>
      </c>
      <c r="AY2" s="56" t="s">
        <v>24</v>
      </c>
      <c r="AZ2" s="57" t="s">
        <v>41</v>
      </c>
      <c r="BA2" s="58" t="s">
        <v>0</v>
      </c>
    </row>
    <row r="3" spans="1:53" ht="15" customHeight="1" x14ac:dyDescent="0.25">
      <c r="A3" s="59" t="s">
        <v>26</v>
      </c>
      <c r="B3" s="55">
        <v>0</v>
      </c>
      <c r="C3" s="102">
        <v>83</v>
      </c>
      <c r="D3" s="137" t="s">
        <v>149</v>
      </c>
      <c r="E3" s="129">
        <f>156.65/2</f>
        <v>78.325000000000003</v>
      </c>
      <c r="F3" s="102">
        <f>F1</f>
        <v>45779</v>
      </c>
      <c r="G3" s="94" t="s">
        <v>42</v>
      </c>
      <c r="H3" s="103">
        <v>3</v>
      </c>
      <c r="I3" s="102">
        <v>45620</v>
      </c>
      <c r="J3" s="128" t="s">
        <v>109</v>
      </c>
      <c r="K3" s="103">
        <f>14819.24/9</f>
        <v>1646.5822222222223</v>
      </c>
      <c r="L3" s="102">
        <v>45620</v>
      </c>
      <c r="M3" s="128" t="s">
        <v>108</v>
      </c>
      <c r="N3" s="103">
        <f>14819.24/9</f>
        <v>1646.5822222222223</v>
      </c>
      <c r="O3" s="102">
        <v>45620</v>
      </c>
      <c r="P3" s="128" t="s">
        <v>107</v>
      </c>
      <c r="Q3" s="103">
        <f>14819.24/9</f>
        <v>1646.5822222222223</v>
      </c>
      <c r="R3" s="87">
        <f>R1</f>
        <v>45903</v>
      </c>
      <c r="S3" s="60" t="s">
        <v>42</v>
      </c>
      <c r="T3" s="61">
        <v>3</v>
      </c>
      <c r="U3" s="87">
        <f>U1</f>
        <v>45934</v>
      </c>
      <c r="V3" s="60" t="s">
        <v>42</v>
      </c>
      <c r="W3" s="61">
        <v>3</v>
      </c>
      <c r="X3" s="87">
        <f>X1</f>
        <v>45965</v>
      </c>
      <c r="Y3" s="60" t="s">
        <v>42</v>
      </c>
      <c r="Z3" s="61">
        <v>3</v>
      </c>
      <c r="AA3" s="87">
        <f>AA1</f>
        <v>45996</v>
      </c>
      <c r="AB3" s="60" t="s">
        <v>42</v>
      </c>
      <c r="AC3" s="61">
        <v>3</v>
      </c>
      <c r="AD3" s="87">
        <f>AD1</f>
        <v>46027</v>
      </c>
      <c r="AE3" s="60" t="s">
        <v>42</v>
      </c>
      <c r="AF3" s="61">
        <v>3</v>
      </c>
      <c r="AG3" s="87">
        <f>AG1</f>
        <v>46058</v>
      </c>
      <c r="AH3" s="60" t="s">
        <v>42</v>
      </c>
      <c r="AI3" s="61">
        <v>3</v>
      </c>
      <c r="AJ3" s="87">
        <f>AJ1</f>
        <v>46089</v>
      </c>
      <c r="AK3" s="60" t="s">
        <v>42</v>
      </c>
      <c r="AL3" s="61">
        <v>3</v>
      </c>
      <c r="AM3" s="87">
        <f>AM1</f>
        <v>46120</v>
      </c>
      <c r="AN3" s="60" t="s">
        <v>42</v>
      </c>
      <c r="AO3" s="61">
        <v>3</v>
      </c>
      <c r="AP3" s="87">
        <f>AP1</f>
        <v>46151</v>
      </c>
      <c r="AQ3" s="60" t="s">
        <v>42</v>
      </c>
      <c r="AR3" s="61">
        <v>3</v>
      </c>
      <c r="AS3" s="87">
        <f>AS1</f>
        <v>46182</v>
      </c>
      <c r="AT3" s="60" t="s">
        <v>42</v>
      </c>
      <c r="AU3" s="61">
        <v>3</v>
      </c>
      <c r="AV3" s="87">
        <f>AV1</f>
        <v>46213</v>
      </c>
      <c r="AW3" s="60" t="s">
        <v>42</v>
      </c>
      <c r="AX3" s="61">
        <v>3</v>
      </c>
      <c r="AY3" s="87">
        <f>AY1</f>
        <v>46244</v>
      </c>
      <c r="AZ3" s="60" t="s">
        <v>42</v>
      </c>
      <c r="BA3" s="61">
        <v>3</v>
      </c>
    </row>
    <row r="4" spans="1:53" ht="15" customHeight="1" x14ac:dyDescent="0.25">
      <c r="A4" s="59" t="s">
        <v>27</v>
      </c>
      <c r="B4" s="55">
        <v>0</v>
      </c>
      <c r="C4" s="104">
        <v>45620</v>
      </c>
      <c r="D4" s="90" t="s">
        <v>111</v>
      </c>
      <c r="E4" s="105">
        <f>14819.24/9</f>
        <v>1646.5822222222223</v>
      </c>
      <c r="F4" s="104">
        <v>45620</v>
      </c>
      <c r="G4" s="90" t="s">
        <v>110</v>
      </c>
      <c r="H4" s="105">
        <f>14819.24/9</f>
        <v>1646.5822222222223</v>
      </c>
      <c r="I4" s="104">
        <v>45756</v>
      </c>
      <c r="J4" s="90" t="s">
        <v>179</v>
      </c>
      <c r="K4" s="105">
        <f>274.7/2</f>
        <v>137.35</v>
      </c>
      <c r="L4" s="104">
        <v>45786</v>
      </c>
      <c r="M4" s="90" t="s">
        <v>217</v>
      </c>
      <c r="N4" s="105">
        <f>230/2</f>
        <v>115</v>
      </c>
      <c r="O4" s="104">
        <v>45781</v>
      </c>
      <c r="P4" s="117" t="s">
        <v>282</v>
      </c>
      <c r="Q4" s="105">
        <v>65</v>
      </c>
      <c r="R4" s="86">
        <v>45620</v>
      </c>
      <c r="S4" s="64" t="s">
        <v>107</v>
      </c>
      <c r="T4" s="54">
        <f>14819.24/9</f>
        <v>1646.5822222222223</v>
      </c>
      <c r="U4" s="86">
        <v>45874</v>
      </c>
      <c r="V4" s="53" t="s">
        <v>320</v>
      </c>
      <c r="W4" s="54">
        <f>1423.8/12</f>
        <v>118.64999999999999</v>
      </c>
      <c r="X4" s="86">
        <v>45874</v>
      </c>
      <c r="Y4" s="53" t="s">
        <v>319</v>
      </c>
      <c r="Z4" s="54">
        <f>1423.8/12</f>
        <v>118.64999999999999</v>
      </c>
      <c r="AA4" s="86">
        <v>45874</v>
      </c>
      <c r="AB4" s="53" t="s">
        <v>318</v>
      </c>
      <c r="AC4" s="54">
        <f>1423.8/12</f>
        <v>118.64999999999999</v>
      </c>
      <c r="AD4" s="86">
        <v>45874</v>
      </c>
      <c r="AE4" s="53" t="s">
        <v>317</v>
      </c>
      <c r="AF4" s="54">
        <f>1423.8/12</f>
        <v>118.64999999999999</v>
      </c>
      <c r="AG4" s="86">
        <v>45874</v>
      </c>
      <c r="AH4" s="53" t="s">
        <v>316</v>
      </c>
      <c r="AI4" s="54">
        <f>1423.8/12</f>
        <v>118.64999999999999</v>
      </c>
      <c r="AJ4" s="86">
        <v>45874</v>
      </c>
      <c r="AK4" s="53" t="s">
        <v>315</v>
      </c>
      <c r="AL4" s="54">
        <f>1423.8/12</f>
        <v>118.64999999999999</v>
      </c>
      <c r="AM4" s="86">
        <v>45874</v>
      </c>
      <c r="AN4" s="53" t="s">
        <v>325</v>
      </c>
      <c r="AO4" s="54">
        <f>1423.8/12</f>
        <v>118.64999999999999</v>
      </c>
      <c r="AP4" s="86">
        <v>45874</v>
      </c>
      <c r="AQ4" s="53" t="s">
        <v>324</v>
      </c>
      <c r="AR4" s="54">
        <f>1423.8/12</f>
        <v>118.64999999999999</v>
      </c>
      <c r="AS4" s="86">
        <v>45874</v>
      </c>
      <c r="AT4" s="53" t="s">
        <v>323</v>
      </c>
      <c r="AU4" s="54">
        <f>1423.8/12</f>
        <v>118.64999999999999</v>
      </c>
      <c r="AV4" s="86">
        <v>45874</v>
      </c>
      <c r="AW4" s="53" t="s">
        <v>322</v>
      </c>
      <c r="AX4" s="54">
        <f>1423.8/12</f>
        <v>118.64999999999999</v>
      </c>
      <c r="AY4" s="86">
        <v>45874</v>
      </c>
      <c r="AZ4" s="53" t="s">
        <v>321</v>
      </c>
      <c r="BA4" s="54">
        <f>1423.8/12</f>
        <v>118.64999999999999</v>
      </c>
    </row>
    <row r="5" spans="1:53" ht="15" customHeight="1" x14ac:dyDescent="0.25">
      <c r="A5" s="35" t="s">
        <v>43</v>
      </c>
      <c r="B5" s="55"/>
      <c r="C5" s="104">
        <v>45626</v>
      </c>
      <c r="D5" s="108" t="s">
        <v>113</v>
      </c>
      <c r="E5" s="107">
        <f>8109/4</f>
        <v>2027.25</v>
      </c>
      <c r="F5" s="104">
        <v>45626</v>
      </c>
      <c r="G5" s="108" t="s">
        <v>113</v>
      </c>
      <c r="H5" s="107">
        <f>8109/4</f>
        <v>2027.25</v>
      </c>
      <c r="I5" s="104">
        <v>45757</v>
      </c>
      <c r="J5" s="92" t="s">
        <v>180</v>
      </c>
      <c r="K5" s="106">
        <f xml:space="preserve"> 158/2</f>
        <v>79</v>
      </c>
      <c r="L5" s="104">
        <v>45808</v>
      </c>
      <c r="M5" s="117" t="s">
        <v>248</v>
      </c>
      <c r="N5" s="105">
        <v>100</v>
      </c>
      <c r="O5" s="104">
        <v>45841</v>
      </c>
      <c r="P5" s="90" t="s">
        <v>279</v>
      </c>
      <c r="Q5" s="107">
        <v>123.18</v>
      </c>
      <c r="R5" s="86">
        <v>45870</v>
      </c>
      <c r="S5" s="126" t="s">
        <v>44</v>
      </c>
      <c r="T5" s="54">
        <v>50</v>
      </c>
      <c r="U5" s="86">
        <v>45874</v>
      </c>
      <c r="V5" s="62" t="s">
        <v>330</v>
      </c>
      <c r="W5" s="63">
        <f>180/2</f>
        <v>90</v>
      </c>
      <c r="X5" s="86">
        <v>45872</v>
      </c>
      <c r="Y5" s="64" t="s">
        <v>332</v>
      </c>
      <c r="Z5" s="43">
        <f>139.8/3</f>
        <v>46.6</v>
      </c>
      <c r="AA5" s="86"/>
      <c r="AB5" s="126"/>
      <c r="AC5" s="54"/>
      <c r="AD5" s="86"/>
      <c r="AE5" s="126"/>
      <c r="AF5" s="54"/>
      <c r="AG5" s="86"/>
      <c r="AH5" s="126"/>
      <c r="AI5" s="54"/>
      <c r="AJ5" s="86"/>
      <c r="AK5" s="126"/>
      <c r="AL5" s="54"/>
      <c r="AM5" s="86"/>
      <c r="AN5" s="126"/>
      <c r="AO5" s="54"/>
      <c r="AP5" s="86"/>
      <c r="AQ5" s="126"/>
      <c r="AR5" s="54"/>
      <c r="AS5" s="86"/>
      <c r="AT5" s="126"/>
      <c r="AU5" s="54"/>
      <c r="AV5" s="86"/>
      <c r="AW5" s="126"/>
      <c r="AX5" s="54"/>
      <c r="AY5" s="86"/>
      <c r="AZ5" s="126"/>
      <c r="BA5" s="54"/>
    </row>
    <row r="6" spans="1:53" ht="15" customHeight="1" x14ac:dyDescent="0.25">
      <c r="A6" s="35" t="s">
        <v>28</v>
      </c>
      <c r="B6" s="55">
        <v>0</v>
      </c>
      <c r="C6" s="104">
        <v>45626</v>
      </c>
      <c r="D6" s="108" t="s">
        <v>114</v>
      </c>
      <c r="E6" s="107">
        <f>7288.14/4</f>
        <v>1822.0350000000001</v>
      </c>
      <c r="F6" s="104">
        <v>45626</v>
      </c>
      <c r="G6" s="108" t="s">
        <v>114</v>
      </c>
      <c r="H6" s="107">
        <f>7288.14/4</f>
        <v>1822.0350000000001</v>
      </c>
      <c r="I6" s="104">
        <v>45778</v>
      </c>
      <c r="J6" s="117" t="s">
        <v>212</v>
      </c>
      <c r="K6" s="105">
        <v>117.7</v>
      </c>
      <c r="L6" s="104">
        <v>45808</v>
      </c>
      <c r="M6" s="117" t="s">
        <v>249</v>
      </c>
      <c r="N6" s="105">
        <v>35</v>
      </c>
      <c r="O6" s="104">
        <v>45841</v>
      </c>
      <c r="P6" s="89" t="s">
        <v>283</v>
      </c>
      <c r="Q6" s="105">
        <v>25</v>
      </c>
      <c r="R6" s="86">
        <v>45871</v>
      </c>
      <c r="S6" s="64" t="s">
        <v>311</v>
      </c>
      <c r="T6" s="43">
        <v>130</v>
      </c>
      <c r="U6" s="86">
        <v>45872</v>
      </c>
      <c r="V6" s="64" t="s">
        <v>333</v>
      </c>
      <c r="W6" s="43">
        <f>139.8/3</f>
        <v>46.6</v>
      </c>
      <c r="X6" s="86"/>
      <c r="Y6" s="64"/>
      <c r="Z6" s="43"/>
      <c r="AA6" s="86"/>
      <c r="AB6" s="64"/>
      <c r="AC6" s="43"/>
      <c r="AD6" s="86"/>
      <c r="AE6" s="64"/>
      <c r="AF6" s="43"/>
      <c r="AG6" s="86"/>
      <c r="AH6" s="64"/>
      <c r="AI6" s="43"/>
      <c r="AJ6" s="86"/>
      <c r="AK6" s="64"/>
      <c r="AL6" s="43"/>
      <c r="AM6" s="86"/>
      <c r="AN6" s="64"/>
      <c r="AO6" s="43"/>
      <c r="AP6" s="86"/>
      <c r="AQ6" s="64"/>
      <c r="AR6" s="43"/>
      <c r="AS6" s="86"/>
      <c r="AT6" s="64"/>
      <c r="AU6" s="43"/>
      <c r="AV6" s="86"/>
      <c r="AW6" s="64"/>
      <c r="AX6" s="43"/>
      <c r="AY6" s="86"/>
      <c r="AZ6" s="64"/>
      <c r="BA6" s="43"/>
    </row>
    <row r="7" spans="1:53" ht="15" customHeight="1" x14ac:dyDescent="0.25">
      <c r="A7" s="35" t="s">
        <v>29</v>
      </c>
      <c r="B7" s="55">
        <v>0</v>
      </c>
      <c r="C7" s="104">
        <v>45717</v>
      </c>
      <c r="D7" s="90" t="s">
        <v>62</v>
      </c>
      <c r="E7" s="107">
        <v>32.97</v>
      </c>
      <c r="F7" s="104">
        <v>83</v>
      </c>
      <c r="G7" s="108" t="s">
        <v>149</v>
      </c>
      <c r="H7" s="107">
        <f>156.65/2</f>
        <v>78.325000000000003</v>
      </c>
      <c r="I7" s="104">
        <v>45778</v>
      </c>
      <c r="J7" s="89" t="s">
        <v>211</v>
      </c>
      <c r="K7" s="105">
        <v>30.06</v>
      </c>
      <c r="L7" s="104">
        <v>45808</v>
      </c>
      <c r="M7" s="89" t="s">
        <v>38</v>
      </c>
      <c r="N7" s="105">
        <v>113.1</v>
      </c>
      <c r="O7" s="104">
        <v>45842</v>
      </c>
      <c r="P7" s="117" t="s">
        <v>281</v>
      </c>
      <c r="Q7" s="105">
        <v>21.42</v>
      </c>
      <c r="R7" s="86">
        <v>45873</v>
      </c>
      <c r="S7" s="64" t="s">
        <v>312</v>
      </c>
      <c r="T7" s="43">
        <v>61.99</v>
      </c>
      <c r="U7" s="86"/>
      <c r="V7" s="64"/>
      <c r="W7" s="43"/>
      <c r="X7" s="86"/>
      <c r="Y7" s="64"/>
      <c r="Z7" s="43"/>
      <c r="AA7" s="86"/>
      <c r="AB7" s="64"/>
      <c r="AC7" s="43"/>
      <c r="AD7" s="86"/>
      <c r="AE7" s="64"/>
      <c r="AF7" s="43"/>
      <c r="AG7" s="86"/>
      <c r="AH7" s="64"/>
      <c r="AI7" s="43"/>
      <c r="AJ7" s="86"/>
      <c r="AK7" s="64"/>
      <c r="AL7" s="43"/>
      <c r="AM7" s="86"/>
      <c r="AN7" s="64"/>
      <c r="AO7" s="43"/>
      <c r="AP7" s="86"/>
      <c r="AQ7" s="64"/>
      <c r="AR7" s="43"/>
      <c r="AS7" s="86"/>
      <c r="AT7" s="64"/>
      <c r="AU7" s="43"/>
      <c r="AV7" s="86"/>
      <c r="AW7" s="64"/>
      <c r="AX7" s="43"/>
      <c r="AY7" s="86"/>
      <c r="AZ7" s="64"/>
      <c r="BA7" s="43"/>
    </row>
    <row r="8" spans="1:53" ht="15" customHeight="1" x14ac:dyDescent="0.25">
      <c r="A8" s="35" t="s">
        <v>30</v>
      </c>
      <c r="B8" s="55">
        <v>0</v>
      </c>
      <c r="C8" s="104">
        <v>45718</v>
      </c>
      <c r="D8" s="90" t="s">
        <v>82</v>
      </c>
      <c r="E8" s="107">
        <v>109.89</v>
      </c>
      <c r="F8" s="104">
        <v>45726</v>
      </c>
      <c r="G8" s="89" t="s">
        <v>152</v>
      </c>
      <c r="H8" s="106">
        <f>241.41/2</f>
        <v>120.705</v>
      </c>
      <c r="I8" s="104">
        <v>45778</v>
      </c>
      <c r="J8" s="89" t="s">
        <v>210</v>
      </c>
      <c r="K8" s="105">
        <v>37.380000000000003</v>
      </c>
      <c r="L8" s="104">
        <v>45810</v>
      </c>
      <c r="M8" s="117" t="s">
        <v>31</v>
      </c>
      <c r="N8" s="105">
        <v>136.65</v>
      </c>
      <c r="O8" s="104">
        <v>45842</v>
      </c>
      <c r="P8" s="117" t="s">
        <v>91</v>
      </c>
      <c r="Q8" s="105">
        <v>39</v>
      </c>
      <c r="R8" s="86">
        <v>45873</v>
      </c>
      <c r="S8" s="64" t="s">
        <v>33</v>
      </c>
      <c r="T8" s="43">
        <v>90</v>
      </c>
      <c r="U8" s="86"/>
      <c r="V8" s="64"/>
      <c r="W8" s="43"/>
      <c r="X8" s="86"/>
      <c r="Y8" s="64"/>
      <c r="Z8" s="43"/>
      <c r="AA8" s="86"/>
      <c r="AB8" s="64"/>
      <c r="AC8" s="43"/>
      <c r="AD8" s="86"/>
      <c r="AE8" s="64"/>
      <c r="AF8" s="43"/>
      <c r="AG8" s="86"/>
      <c r="AH8" s="64"/>
      <c r="AI8" s="43"/>
      <c r="AJ8" s="86"/>
      <c r="AK8" s="64"/>
      <c r="AL8" s="43"/>
      <c r="AM8" s="86"/>
      <c r="AN8" s="64"/>
      <c r="AO8" s="43"/>
      <c r="AP8" s="86"/>
      <c r="AQ8" s="64"/>
      <c r="AR8" s="43"/>
      <c r="AS8" s="86"/>
      <c r="AT8" s="64"/>
      <c r="AU8" s="43"/>
      <c r="AV8" s="86"/>
      <c r="AW8" s="64"/>
      <c r="AX8" s="43"/>
      <c r="AY8" s="86"/>
      <c r="AZ8" s="64"/>
      <c r="BA8" s="43"/>
    </row>
    <row r="9" spans="1:53" ht="15" customHeight="1" x14ac:dyDescent="0.25">
      <c r="A9" s="35" t="s">
        <v>32</v>
      </c>
      <c r="B9" s="55">
        <v>0</v>
      </c>
      <c r="C9" s="104">
        <v>45721</v>
      </c>
      <c r="D9" s="91" t="s">
        <v>151</v>
      </c>
      <c r="E9" s="105">
        <v>16.98</v>
      </c>
      <c r="F9" s="104">
        <v>45749</v>
      </c>
      <c r="G9" s="108" t="s">
        <v>78</v>
      </c>
      <c r="H9" s="107">
        <v>70.099999999999994</v>
      </c>
      <c r="I9" s="104">
        <v>45779</v>
      </c>
      <c r="J9" s="91" t="s">
        <v>212</v>
      </c>
      <c r="K9" s="105">
        <v>169.4</v>
      </c>
      <c r="L9" s="104">
        <v>45810</v>
      </c>
      <c r="M9" s="91" t="s">
        <v>247</v>
      </c>
      <c r="N9" s="105">
        <f>13+4.5</f>
        <v>17.5</v>
      </c>
      <c r="O9" s="104">
        <v>45843</v>
      </c>
      <c r="P9" s="101" t="s">
        <v>33</v>
      </c>
      <c r="Q9" s="107">
        <v>114.43</v>
      </c>
      <c r="R9" s="86">
        <v>45872</v>
      </c>
      <c r="S9" s="42" t="s">
        <v>31</v>
      </c>
      <c r="T9" s="43">
        <v>229.45</v>
      </c>
      <c r="U9" s="86"/>
      <c r="V9" s="42"/>
      <c r="W9" s="43"/>
      <c r="X9" s="86"/>
      <c r="Y9" s="42"/>
      <c r="Z9" s="43"/>
      <c r="AA9" s="86"/>
      <c r="AB9" s="42"/>
      <c r="AC9" s="43"/>
      <c r="AD9" s="86"/>
      <c r="AE9" s="42"/>
      <c r="AF9" s="43"/>
      <c r="AG9" s="86"/>
      <c r="AH9" s="42"/>
      <c r="AI9" s="43"/>
      <c r="AJ9" s="86"/>
      <c r="AK9" s="42"/>
      <c r="AL9" s="43"/>
      <c r="AM9" s="86"/>
      <c r="AN9" s="42"/>
      <c r="AO9" s="43"/>
      <c r="AP9" s="86"/>
      <c r="AQ9" s="42"/>
      <c r="AR9" s="43"/>
      <c r="AS9" s="86"/>
      <c r="AT9" s="42"/>
      <c r="AU9" s="43"/>
      <c r="AV9" s="86"/>
      <c r="AW9" s="42"/>
      <c r="AX9" s="43"/>
      <c r="AY9" s="86"/>
      <c r="AZ9" s="42"/>
      <c r="BA9" s="43"/>
    </row>
    <row r="10" spans="1:53" ht="15" customHeight="1" x14ac:dyDescent="0.25">
      <c r="A10" s="35" t="s">
        <v>45</v>
      </c>
      <c r="B10" s="55">
        <v>0</v>
      </c>
      <c r="C10" s="104">
        <v>45721</v>
      </c>
      <c r="D10" s="91" t="s">
        <v>120</v>
      </c>
      <c r="E10" s="105">
        <v>30</v>
      </c>
      <c r="F10" s="104">
        <v>45756</v>
      </c>
      <c r="G10" s="91" t="s">
        <v>175</v>
      </c>
      <c r="H10" s="105">
        <v>16</v>
      </c>
      <c r="I10" s="104">
        <v>45779</v>
      </c>
      <c r="J10" s="134" t="s">
        <v>210</v>
      </c>
      <c r="K10" s="105">
        <v>72.69</v>
      </c>
      <c r="L10" s="104">
        <v>45810</v>
      </c>
      <c r="M10" s="134" t="s">
        <v>250</v>
      </c>
      <c r="N10" s="105">
        <v>157</v>
      </c>
      <c r="O10" s="104">
        <v>45843</v>
      </c>
      <c r="P10" s="91" t="s">
        <v>106</v>
      </c>
      <c r="Q10" s="105">
        <v>40</v>
      </c>
      <c r="R10" s="86">
        <v>45872</v>
      </c>
      <c r="S10" s="53" t="s">
        <v>313</v>
      </c>
      <c r="T10" s="54">
        <v>48.3</v>
      </c>
      <c r="U10" s="86"/>
      <c r="V10" s="53"/>
      <c r="W10" s="54"/>
      <c r="X10" s="86"/>
      <c r="Y10" s="53"/>
      <c r="Z10" s="54"/>
      <c r="AA10" s="86"/>
      <c r="AB10" s="53"/>
      <c r="AC10" s="54"/>
      <c r="AD10" s="86"/>
      <c r="AE10" s="53"/>
      <c r="AF10" s="54"/>
      <c r="AG10" s="86"/>
      <c r="AH10" s="53"/>
      <c r="AI10" s="54"/>
      <c r="AJ10" s="86"/>
      <c r="AK10" s="53"/>
      <c r="AL10" s="54"/>
      <c r="AM10" s="86"/>
      <c r="AN10" s="53"/>
      <c r="AO10" s="54"/>
      <c r="AP10" s="86"/>
      <c r="AQ10" s="53"/>
      <c r="AR10" s="54"/>
      <c r="AS10" s="86"/>
      <c r="AT10" s="53"/>
      <c r="AU10" s="54"/>
      <c r="AV10" s="86"/>
      <c r="AW10" s="53"/>
      <c r="AX10" s="54"/>
      <c r="AY10" s="86"/>
      <c r="AZ10" s="53"/>
      <c r="BA10" s="54"/>
    </row>
    <row r="11" spans="1:53" ht="15" customHeight="1" x14ac:dyDescent="0.25">
      <c r="A11" s="35" t="s">
        <v>34</v>
      </c>
      <c r="B11" s="55">
        <v>0</v>
      </c>
      <c r="C11" s="104">
        <v>45721</v>
      </c>
      <c r="D11" s="101" t="s">
        <v>35</v>
      </c>
      <c r="E11" s="105">
        <v>29.14</v>
      </c>
      <c r="F11" s="104">
        <v>45757</v>
      </c>
      <c r="G11" s="91" t="s">
        <v>177</v>
      </c>
      <c r="H11" s="105">
        <v>31</v>
      </c>
      <c r="I11" s="104">
        <v>45780</v>
      </c>
      <c r="J11" s="108" t="s">
        <v>210</v>
      </c>
      <c r="K11" s="107">
        <v>96.78</v>
      </c>
      <c r="L11" s="104">
        <v>45813</v>
      </c>
      <c r="M11" s="101" t="s">
        <v>245</v>
      </c>
      <c r="N11" s="107">
        <v>10</v>
      </c>
      <c r="O11" s="104">
        <v>45845</v>
      </c>
      <c r="P11" s="134" t="s">
        <v>284</v>
      </c>
      <c r="Q11" s="105">
        <v>35</v>
      </c>
      <c r="R11" s="86">
        <v>45876</v>
      </c>
      <c r="S11" s="53" t="s">
        <v>100</v>
      </c>
      <c r="T11" s="54">
        <v>80</v>
      </c>
      <c r="U11" s="86"/>
      <c r="V11" s="53"/>
      <c r="W11" s="54"/>
      <c r="X11" s="86"/>
      <c r="Y11" s="53"/>
      <c r="Z11" s="54"/>
      <c r="AA11" s="86"/>
      <c r="AB11" s="53"/>
      <c r="AC11" s="54"/>
      <c r="AD11" s="86"/>
      <c r="AE11" s="53"/>
      <c r="AF11" s="54"/>
      <c r="AG11" s="86"/>
      <c r="AH11" s="53"/>
      <c r="AI11" s="54"/>
      <c r="AJ11" s="86"/>
      <c r="AK11" s="53"/>
      <c r="AL11" s="54"/>
      <c r="AM11" s="86"/>
      <c r="AN11" s="53"/>
      <c r="AO11" s="54"/>
      <c r="AP11" s="86"/>
      <c r="AQ11" s="53"/>
      <c r="AR11" s="54"/>
      <c r="AS11" s="86"/>
      <c r="AT11" s="53"/>
      <c r="AU11" s="54"/>
      <c r="AV11" s="86"/>
      <c r="AW11" s="53"/>
      <c r="AX11" s="54"/>
      <c r="AY11" s="86"/>
      <c r="AZ11" s="53"/>
      <c r="BA11" s="54"/>
    </row>
    <row r="12" spans="1:53" ht="15" customHeight="1" x14ac:dyDescent="0.25">
      <c r="A12" s="35" t="s">
        <v>36</v>
      </c>
      <c r="B12" s="55">
        <v>0</v>
      </c>
      <c r="C12" s="104">
        <v>45722</v>
      </c>
      <c r="D12" s="101" t="s">
        <v>95</v>
      </c>
      <c r="E12" s="105">
        <v>26.9</v>
      </c>
      <c r="F12" s="104">
        <v>45756</v>
      </c>
      <c r="G12" s="91" t="s">
        <v>82</v>
      </c>
      <c r="H12" s="105">
        <v>139.91999999999999</v>
      </c>
      <c r="I12" s="104">
        <v>45780</v>
      </c>
      <c r="J12" s="91" t="s">
        <v>31</v>
      </c>
      <c r="K12" s="105">
        <v>67.900000000000006</v>
      </c>
      <c r="L12" s="104">
        <v>45813</v>
      </c>
      <c r="M12" s="101" t="s">
        <v>102</v>
      </c>
      <c r="N12" s="107">
        <v>120</v>
      </c>
      <c r="O12" s="104">
        <v>45846</v>
      </c>
      <c r="P12" s="91" t="s">
        <v>100</v>
      </c>
      <c r="Q12" s="105">
        <v>29</v>
      </c>
      <c r="R12" s="86">
        <v>45874</v>
      </c>
      <c r="S12" s="53" t="s">
        <v>314</v>
      </c>
      <c r="T12" s="54">
        <f>1423.8/12</f>
        <v>118.64999999999999</v>
      </c>
      <c r="U12" s="86"/>
      <c r="V12" s="53"/>
      <c r="W12" s="54"/>
      <c r="X12" s="86"/>
      <c r="Y12" s="53"/>
      <c r="Z12" s="54"/>
      <c r="AA12" s="86"/>
      <c r="AB12" s="53"/>
      <c r="AC12" s="54"/>
      <c r="AD12" s="86"/>
      <c r="AE12" s="53"/>
      <c r="AF12" s="54"/>
      <c r="AG12" s="86"/>
      <c r="AH12" s="53"/>
      <c r="AI12" s="54"/>
      <c r="AJ12" s="86"/>
      <c r="AK12" s="53"/>
      <c r="AL12" s="54"/>
      <c r="AM12" s="86"/>
      <c r="AN12" s="53"/>
      <c r="AO12" s="54"/>
      <c r="AP12" s="86"/>
      <c r="AQ12" s="53"/>
      <c r="AR12" s="54"/>
      <c r="AS12" s="86"/>
      <c r="AT12" s="53"/>
      <c r="AU12" s="54"/>
      <c r="AV12" s="86"/>
      <c r="AW12" s="53"/>
      <c r="AX12" s="54"/>
      <c r="AY12" s="86"/>
      <c r="AZ12" s="53"/>
      <c r="BA12" s="54"/>
    </row>
    <row r="13" spans="1:53" ht="15" customHeight="1" x14ac:dyDescent="0.25">
      <c r="A13" s="23" t="s">
        <v>19</v>
      </c>
      <c r="B13" s="65">
        <f>SUM(B2:B12)</f>
        <v>0</v>
      </c>
      <c r="C13" s="104">
        <v>45723</v>
      </c>
      <c r="D13" s="92" t="s">
        <v>150</v>
      </c>
      <c r="E13" s="106">
        <v>60</v>
      </c>
      <c r="F13" s="104">
        <v>45757</v>
      </c>
      <c r="G13" s="92" t="s">
        <v>181</v>
      </c>
      <c r="H13" s="106">
        <f xml:space="preserve"> 158/2</f>
        <v>79</v>
      </c>
      <c r="I13" s="104">
        <v>45780</v>
      </c>
      <c r="J13" s="91" t="s">
        <v>211</v>
      </c>
      <c r="K13" s="106">
        <v>46.26</v>
      </c>
      <c r="L13" s="104">
        <v>45813</v>
      </c>
      <c r="M13" s="144" t="s">
        <v>246</v>
      </c>
      <c r="N13" s="116">
        <v>27</v>
      </c>
      <c r="O13" s="104">
        <v>45847</v>
      </c>
      <c r="P13" s="153" t="s">
        <v>278</v>
      </c>
      <c r="Q13" s="116">
        <v>18</v>
      </c>
      <c r="R13" s="86">
        <v>45878</v>
      </c>
      <c r="S13" s="66" t="s">
        <v>326</v>
      </c>
      <c r="T13" s="63">
        <v>40</v>
      </c>
      <c r="U13" s="86"/>
      <c r="V13" s="66"/>
      <c r="W13" s="63"/>
      <c r="X13" s="86"/>
      <c r="Y13" s="66"/>
      <c r="Z13" s="63"/>
      <c r="AA13" s="86"/>
      <c r="AB13" s="66"/>
      <c r="AC13" s="63"/>
      <c r="AD13" s="86"/>
      <c r="AE13" s="66"/>
      <c r="AF13" s="63"/>
      <c r="AG13" s="86"/>
      <c r="AH13" s="66"/>
      <c r="AI13" s="63"/>
      <c r="AJ13" s="86"/>
      <c r="AK13" s="66"/>
      <c r="AL13" s="63"/>
      <c r="AM13" s="86"/>
      <c r="AN13" s="66"/>
      <c r="AO13" s="63"/>
      <c r="AP13" s="86"/>
      <c r="AQ13" s="66"/>
      <c r="AR13" s="63"/>
      <c r="AS13" s="86"/>
      <c r="AT13" s="66"/>
      <c r="AU13" s="63"/>
      <c r="AV13" s="86"/>
      <c r="AW13" s="66"/>
      <c r="AX13" s="63"/>
      <c r="AY13" s="86"/>
      <c r="AZ13" s="66"/>
      <c r="BA13" s="63"/>
    </row>
    <row r="14" spans="1:53" ht="15" customHeight="1" x14ac:dyDescent="0.25">
      <c r="C14" s="104">
        <v>45725</v>
      </c>
      <c r="D14" s="136" t="s">
        <v>35</v>
      </c>
      <c r="E14" s="106">
        <v>17.59</v>
      </c>
      <c r="F14" s="104">
        <v>45756</v>
      </c>
      <c r="G14" s="93" t="s">
        <v>77</v>
      </c>
      <c r="H14" s="106">
        <v>55.23</v>
      </c>
      <c r="I14" s="104">
        <v>45781</v>
      </c>
      <c r="J14" s="132" t="s">
        <v>64</v>
      </c>
      <c r="K14" s="116">
        <v>56.86</v>
      </c>
      <c r="L14" s="104">
        <v>45814</v>
      </c>
      <c r="M14" s="132" t="s">
        <v>244</v>
      </c>
      <c r="N14" s="116">
        <v>25</v>
      </c>
      <c r="O14" s="104">
        <v>45847</v>
      </c>
      <c r="P14" s="154" t="s">
        <v>280</v>
      </c>
      <c r="Q14" s="116">
        <v>7</v>
      </c>
      <c r="R14" s="86">
        <v>45877</v>
      </c>
      <c r="S14" s="68" t="s">
        <v>78</v>
      </c>
      <c r="T14" s="63">
        <v>37</v>
      </c>
      <c r="U14" s="86"/>
      <c r="V14" s="68"/>
      <c r="W14" s="63"/>
      <c r="X14" s="86"/>
      <c r="Y14" s="68"/>
      <c r="Z14" s="63"/>
      <c r="AA14" s="86"/>
      <c r="AB14" s="68"/>
      <c r="AC14" s="63"/>
      <c r="AD14" s="86"/>
      <c r="AE14" s="68"/>
      <c r="AF14" s="63"/>
      <c r="AG14" s="86"/>
      <c r="AH14" s="68"/>
      <c r="AI14" s="63"/>
      <c r="AJ14" s="86"/>
      <c r="AK14" s="68"/>
      <c r="AL14" s="63"/>
      <c r="AM14" s="86"/>
      <c r="AN14" s="68"/>
      <c r="AO14" s="63"/>
      <c r="AP14" s="86"/>
      <c r="AQ14" s="68"/>
      <c r="AR14" s="63"/>
      <c r="AS14" s="86"/>
      <c r="AT14" s="68"/>
      <c r="AU14" s="63"/>
      <c r="AV14" s="86"/>
      <c r="AW14" s="68"/>
      <c r="AX14" s="63"/>
      <c r="AY14" s="86"/>
      <c r="AZ14" s="68"/>
      <c r="BA14" s="63"/>
    </row>
    <row r="15" spans="1:53" ht="15" customHeight="1" x14ac:dyDescent="0.25">
      <c r="A15" s="35" t="s">
        <v>37</v>
      </c>
      <c r="B15" s="55">
        <v>0</v>
      </c>
      <c r="C15" s="104">
        <v>45725</v>
      </c>
      <c r="D15" s="89" t="s">
        <v>68</v>
      </c>
      <c r="E15" s="106">
        <v>339.95</v>
      </c>
      <c r="F15" s="104">
        <v>45756</v>
      </c>
      <c r="G15" s="89" t="s">
        <v>98</v>
      </c>
      <c r="H15" s="106">
        <f>20+50+21</f>
        <v>91</v>
      </c>
      <c r="I15" s="104">
        <v>45781</v>
      </c>
      <c r="J15" s="90" t="s">
        <v>35</v>
      </c>
      <c r="K15" s="116">
        <v>138.84</v>
      </c>
      <c r="L15" s="104">
        <v>45814</v>
      </c>
      <c r="M15" s="89" t="s">
        <v>252</v>
      </c>
      <c r="N15" s="106">
        <v>77.8</v>
      </c>
      <c r="O15" s="104">
        <f>O13</f>
        <v>45847</v>
      </c>
      <c r="P15" s="117" t="s">
        <v>42</v>
      </c>
      <c r="Q15" s="106">
        <v>3</v>
      </c>
      <c r="R15" s="86">
        <v>45877</v>
      </c>
      <c r="S15" s="62" t="s">
        <v>328</v>
      </c>
      <c r="T15" s="63">
        <v>50</v>
      </c>
      <c r="U15" s="86"/>
      <c r="V15" s="62"/>
      <c r="W15" s="63"/>
      <c r="X15" s="86"/>
      <c r="Y15" s="62"/>
      <c r="Z15" s="63"/>
      <c r="AA15" s="86"/>
      <c r="AB15" s="62"/>
      <c r="AC15" s="63"/>
      <c r="AD15" s="86"/>
      <c r="AE15" s="62"/>
      <c r="AF15" s="63"/>
      <c r="AG15" s="86"/>
      <c r="AH15" s="62"/>
      <c r="AI15" s="63"/>
      <c r="AJ15" s="86"/>
      <c r="AK15" s="62"/>
      <c r="AL15" s="63"/>
      <c r="AM15" s="86"/>
      <c r="AN15" s="62"/>
      <c r="AO15" s="63"/>
      <c r="AP15" s="86"/>
      <c r="AQ15" s="62"/>
      <c r="AR15" s="63"/>
      <c r="AS15" s="86"/>
      <c r="AT15" s="62"/>
      <c r="AU15" s="63"/>
      <c r="AV15" s="86"/>
      <c r="AW15" s="62"/>
      <c r="AX15" s="63"/>
      <c r="AY15" s="86"/>
      <c r="AZ15" s="62"/>
      <c r="BA15" s="63"/>
    </row>
    <row r="16" spans="1:53" ht="15" customHeight="1" x14ac:dyDescent="0.25">
      <c r="A16" s="35" t="s">
        <v>40</v>
      </c>
      <c r="B16" s="67">
        <v>0</v>
      </c>
      <c r="C16" s="104">
        <v>45725</v>
      </c>
      <c r="D16" s="89" t="s">
        <v>90</v>
      </c>
      <c r="E16" s="106">
        <v>17.98</v>
      </c>
      <c r="F16" s="104">
        <v>45753</v>
      </c>
      <c r="G16" s="89" t="s">
        <v>182</v>
      </c>
      <c r="H16" s="106">
        <v>20</v>
      </c>
      <c r="I16" s="104">
        <v>45782</v>
      </c>
      <c r="J16" s="89" t="s">
        <v>215</v>
      </c>
      <c r="K16" s="106">
        <v>67.2</v>
      </c>
      <c r="L16" s="104">
        <v>45815</v>
      </c>
      <c r="M16" s="89" t="s">
        <v>65</v>
      </c>
      <c r="N16" s="106">
        <v>57.09</v>
      </c>
      <c r="O16" s="86"/>
      <c r="P16" s="62"/>
      <c r="Q16" s="63"/>
      <c r="R16" s="86">
        <v>45876</v>
      </c>
      <c r="S16" s="62" t="s">
        <v>106</v>
      </c>
      <c r="T16" s="63">
        <v>90</v>
      </c>
      <c r="U16" s="86"/>
      <c r="V16" s="62"/>
      <c r="W16" s="63"/>
      <c r="X16" s="86"/>
      <c r="Y16" s="62"/>
      <c r="Z16" s="63"/>
      <c r="AA16" s="86"/>
      <c r="AB16" s="62"/>
      <c r="AC16" s="63"/>
      <c r="AD16" s="86"/>
      <c r="AE16" s="62"/>
      <c r="AF16" s="63"/>
      <c r="AG16" s="86"/>
      <c r="AH16" s="62"/>
      <c r="AI16" s="63"/>
      <c r="AJ16" s="86"/>
      <c r="AK16" s="62"/>
      <c r="AL16" s="63"/>
      <c r="AM16" s="86"/>
      <c r="AN16" s="62"/>
      <c r="AO16" s="63"/>
      <c r="AP16" s="86"/>
      <c r="AQ16" s="62"/>
      <c r="AR16" s="63"/>
      <c r="AS16" s="86"/>
      <c r="AT16" s="62"/>
      <c r="AU16" s="63"/>
      <c r="AV16" s="86"/>
      <c r="AW16" s="62"/>
      <c r="AX16" s="63"/>
      <c r="AY16" s="86"/>
      <c r="AZ16" s="62"/>
      <c r="BA16" s="63"/>
    </row>
    <row r="17" spans="3:53" ht="15" customHeight="1" x14ac:dyDescent="0.25">
      <c r="C17" s="104">
        <v>45725</v>
      </c>
      <c r="D17" s="90" t="s">
        <v>35</v>
      </c>
      <c r="E17" s="116">
        <v>36.520000000000003</v>
      </c>
      <c r="F17" s="104">
        <v>45752</v>
      </c>
      <c r="G17" s="89" t="s">
        <v>183</v>
      </c>
      <c r="H17" s="106">
        <v>30</v>
      </c>
      <c r="I17" s="104">
        <v>45782</v>
      </c>
      <c r="J17" s="90" t="s">
        <v>218</v>
      </c>
      <c r="K17" s="106">
        <v>99.6</v>
      </c>
      <c r="L17" s="104">
        <v>45815</v>
      </c>
      <c r="M17" s="89" t="s">
        <v>249</v>
      </c>
      <c r="N17" s="106">
        <v>35</v>
      </c>
      <c r="O17" s="86"/>
      <c r="P17" s="62"/>
      <c r="Q17" s="63"/>
      <c r="R17" s="86">
        <v>45876</v>
      </c>
      <c r="S17" s="62" t="s">
        <v>313</v>
      </c>
      <c r="T17" s="63">
        <v>42</v>
      </c>
      <c r="U17" s="86"/>
      <c r="V17" s="62"/>
      <c r="W17" s="63"/>
      <c r="X17" s="86"/>
      <c r="Y17" s="62"/>
      <c r="Z17" s="63"/>
      <c r="AA17" s="86"/>
      <c r="AB17" s="62"/>
      <c r="AC17" s="63"/>
      <c r="AD17" s="86"/>
      <c r="AE17" s="62"/>
      <c r="AF17" s="63"/>
      <c r="AG17" s="86"/>
      <c r="AH17" s="62"/>
      <c r="AI17" s="63"/>
      <c r="AJ17" s="86"/>
      <c r="AK17" s="62"/>
      <c r="AL17" s="63"/>
      <c r="AM17" s="86"/>
      <c r="AN17" s="62"/>
      <c r="AO17" s="63"/>
      <c r="AP17" s="86"/>
      <c r="AQ17" s="62"/>
      <c r="AR17" s="63"/>
      <c r="AS17" s="86"/>
      <c r="AT17" s="62"/>
      <c r="AU17" s="63"/>
      <c r="AV17" s="86"/>
      <c r="AW17" s="62"/>
      <c r="AX17" s="63"/>
      <c r="AY17" s="86"/>
      <c r="AZ17" s="62"/>
      <c r="BA17" s="63"/>
    </row>
    <row r="18" spans="3:53" ht="15" customHeight="1" x14ac:dyDescent="0.25">
      <c r="C18" s="104">
        <v>45726</v>
      </c>
      <c r="D18" s="89" t="s">
        <v>1</v>
      </c>
      <c r="E18" s="106">
        <v>280</v>
      </c>
      <c r="F18" s="104">
        <v>45753</v>
      </c>
      <c r="G18" s="89" t="s">
        <v>184</v>
      </c>
      <c r="H18" s="106">
        <v>43.99</v>
      </c>
      <c r="I18" s="104">
        <v>45783</v>
      </c>
      <c r="J18" s="89" t="s">
        <v>214</v>
      </c>
      <c r="K18" s="106">
        <v>50</v>
      </c>
      <c r="L18" s="104">
        <f>L16</f>
        <v>45815</v>
      </c>
      <c r="M18" s="117" t="s">
        <v>42</v>
      </c>
      <c r="N18" s="106">
        <v>3</v>
      </c>
      <c r="O18" s="86"/>
      <c r="P18" s="62"/>
      <c r="Q18" s="63"/>
      <c r="R18" s="86">
        <v>45874</v>
      </c>
      <c r="S18" s="62" t="s">
        <v>61</v>
      </c>
      <c r="T18" s="63">
        <v>18</v>
      </c>
      <c r="U18" s="86"/>
      <c r="V18" s="62"/>
      <c r="W18" s="63"/>
      <c r="X18" s="86"/>
      <c r="Y18" s="62"/>
      <c r="Z18" s="63"/>
      <c r="AA18" s="86"/>
      <c r="AB18" s="62"/>
      <c r="AC18" s="63"/>
      <c r="AD18" s="86"/>
      <c r="AE18" s="62"/>
      <c r="AF18" s="63"/>
      <c r="AG18" s="86"/>
      <c r="AH18" s="62"/>
      <c r="AI18" s="63"/>
      <c r="AJ18" s="86"/>
      <c r="AK18" s="62"/>
      <c r="AL18" s="63"/>
      <c r="AM18" s="86"/>
      <c r="AN18" s="62"/>
      <c r="AO18" s="63"/>
      <c r="AP18" s="86"/>
      <c r="AQ18" s="62"/>
      <c r="AR18" s="63"/>
      <c r="AS18" s="86"/>
      <c r="AT18" s="62"/>
      <c r="AU18" s="63"/>
      <c r="AV18" s="86"/>
      <c r="AW18" s="62"/>
      <c r="AX18" s="63"/>
      <c r="AY18" s="86"/>
      <c r="AZ18" s="62"/>
      <c r="BA18" s="63"/>
    </row>
    <row r="19" spans="3:53" ht="15" customHeight="1" x14ac:dyDescent="0.25">
      <c r="C19" s="104">
        <v>45726</v>
      </c>
      <c r="D19" s="89" t="s">
        <v>152</v>
      </c>
      <c r="E19" s="106">
        <f>241.41/2</f>
        <v>120.705</v>
      </c>
      <c r="F19" s="104">
        <v>45754</v>
      </c>
      <c r="G19" s="89" t="s">
        <v>97</v>
      </c>
      <c r="H19" s="106">
        <v>24.51</v>
      </c>
      <c r="I19" s="104">
        <v>45783</v>
      </c>
      <c r="J19" s="90" t="s">
        <v>1</v>
      </c>
      <c r="K19" s="106">
        <v>46.68</v>
      </c>
      <c r="L19" s="104">
        <v>45908</v>
      </c>
      <c r="M19" s="89" t="s">
        <v>251</v>
      </c>
      <c r="N19" s="106">
        <v>77.010000000000005</v>
      </c>
      <c r="O19" s="86"/>
      <c r="P19" s="62"/>
      <c r="Q19" s="63"/>
      <c r="R19" s="86">
        <v>45874</v>
      </c>
      <c r="S19" s="62" t="s">
        <v>329</v>
      </c>
      <c r="T19" s="63">
        <f>180/2</f>
        <v>90</v>
      </c>
      <c r="U19" s="86"/>
      <c r="V19" s="62"/>
      <c r="W19" s="63"/>
      <c r="X19" s="86"/>
      <c r="Y19" s="62"/>
      <c r="Z19" s="63"/>
      <c r="AA19" s="86"/>
      <c r="AB19" s="62"/>
      <c r="AC19" s="63"/>
      <c r="AD19" s="86"/>
      <c r="AE19" s="62"/>
      <c r="AF19" s="63"/>
      <c r="AG19" s="86"/>
      <c r="AH19" s="62"/>
      <c r="AI19" s="63"/>
      <c r="AJ19" s="86"/>
      <c r="AK19" s="62"/>
      <c r="AL19" s="63"/>
      <c r="AM19" s="86"/>
      <c r="AN19" s="62"/>
      <c r="AO19" s="63"/>
      <c r="AP19" s="86"/>
      <c r="AQ19" s="62"/>
      <c r="AR19" s="63"/>
      <c r="AS19" s="86"/>
      <c r="AT19" s="62"/>
      <c r="AU19" s="63"/>
      <c r="AV19" s="86"/>
      <c r="AW19" s="62"/>
      <c r="AX19" s="63"/>
      <c r="AY19" s="86"/>
      <c r="AZ19" s="62"/>
      <c r="BA19" s="63"/>
    </row>
    <row r="20" spans="3:53" ht="15" customHeight="1" x14ac:dyDescent="0.25">
      <c r="C20" s="104">
        <v>45726</v>
      </c>
      <c r="D20" s="89" t="s">
        <v>153</v>
      </c>
      <c r="E20" s="106">
        <v>15.54</v>
      </c>
      <c r="F20" s="104">
        <v>45752</v>
      </c>
      <c r="G20" s="89" t="s">
        <v>75</v>
      </c>
      <c r="H20" s="106">
        <v>66.5</v>
      </c>
      <c r="I20" s="104">
        <v>45784</v>
      </c>
      <c r="J20" s="89" t="s">
        <v>44</v>
      </c>
      <c r="K20" s="106">
        <v>90</v>
      </c>
      <c r="L20" s="104">
        <v>45787</v>
      </c>
      <c r="M20" s="89" t="s">
        <v>253</v>
      </c>
      <c r="N20" s="106">
        <v>12</v>
      </c>
      <c r="O20" s="86"/>
      <c r="P20" s="62"/>
      <c r="Q20" s="63"/>
      <c r="R20" s="86">
        <v>45872</v>
      </c>
      <c r="S20" s="62" t="s">
        <v>31</v>
      </c>
      <c r="T20" s="63">
        <v>53</v>
      </c>
      <c r="U20" s="86"/>
      <c r="V20" s="62"/>
      <c r="W20" s="63"/>
      <c r="X20" s="86"/>
      <c r="Y20" s="62"/>
      <c r="Z20" s="63"/>
      <c r="AA20" s="86"/>
      <c r="AB20" s="62"/>
      <c r="AC20" s="63"/>
      <c r="AD20" s="86"/>
      <c r="AE20" s="62"/>
      <c r="AF20" s="63"/>
      <c r="AG20" s="86"/>
      <c r="AH20" s="62"/>
      <c r="AI20" s="63"/>
      <c r="AJ20" s="86"/>
      <c r="AK20" s="62"/>
      <c r="AL20" s="63"/>
      <c r="AM20" s="86"/>
      <c r="AN20" s="62"/>
      <c r="AO20" s="63"/>
      <c r="AP20" s="86"/>
      <c r="AQ20" s="62"/>
      <c r="AR20" s="63"/>
      <c r="AS20" s="86"/>
      <c r="AT20" s="62"/>
      <c r="AU20" s="63"/>
      <c r="AV20" s="86"/>
      <c r="AW20" s="62"/>
      <c r="AX20" s="63"/>
      <c r="AY20" s="86"/>
      <c r="AZ20" s="62"/>
      <c r="BA20" s="63"/>
    </row>
    <row r="21" spans="3:53" ht="15" customHeight="1" x14ac:dyDescent="0.25">
      <c r="C21" s="104">
        <v>45726</v>
      </c>
      <c r="D21" s="89" t="s">
        <v>31</v>
      </c>
      <c r="E21" s="105">
        <v>215.95</v>
      </c>
      <c r="F21" s="104">
        <v>45751</v>
      </c>
      <c r="G21" s="90" t="s">
        <v>31</v>
      </c>
      <c r="H21" s="107">
        <v>90.41</v>
      </c>
      <c r="I21" s="104">
        <v>45784</v>
      </c>
      <c r="J21" s="90" t="s">
        <v>104</v>
      </c>
      <c r="K21" s="107">
        <v>34.4</v>
      </c>
      <c r="L21" s="104">
        <v>45820</v>
      </c>
      <c r="M21" s="90" t="s">
        <v>253</v>
      </c>
      <c r="N21" s="107">
        <v>25</v>
      </c>
      <c r="O21" s="86"/>
      <c r="P21" s="64"/>
      <c r="Q21" s="43"/>
      <c r="R21" s="86">
        <v>45872</v>
      </c>
      <c r="S21" s="64" t="s">
        <v>331</v>
      </c>
      <c r="T21" s="43">
        <f>139.8/3</f>
        <v>46.6</v>
      </c>
      <c r="U21" s="86"/>
      <c r="V21" s="64"/>
      <c r="W21" s="43"/>
      <c r="X21" s="86"/>
      <c r="Y21" s="64"/>
      <c r="Z21" s="43"/>
      <c r="AA21" s="86"/>
      <c r="AB21" s="64"/>
      <c r="AC21" s="43"/>
      <c r="AD21" s="86"/>
      <c r="AE21" s="64"/>
      <c r="AF21" s="43"/>
      <c r="AG21" s="86"/>
      <c r="AH21" s="64"/>
      <c r="AI21" s="43"/>
      <c r="AJ21" s="86"/>
      <c r="AK21" s="64"/>
      <c r="AL21" s="43"/>
      <c r="AM21" s="86"/>
      <c r="AN21" s="64"/>
      <c r="AO21" s="43"/>
      <c r="AP21" s="86"/>
      <c r="AQ21" s="64"/>
      <c r="AR21" s="43"/>
      <c r="AS21" s="86"/>
      <c r="AT21" s="64"/>
      <c r="AU21" s="43"/>
      <c r="AV21" s="86"/>
      <c r="AW21" s="64"/>
      <c r="AX21" s="43"/>
      <c r="AY21" s="86"/>
      <c r="AZ21" s="64"/>
      <c r="BA21" s="43"/>
    </row>
    <row r="22" spans="3:53" ht="15" customHeight="1" x14ac:dyDescent="0.25">
      <c r="C22" s="104">
        <v>45726</v>
      </c>
      <c r="D22" s="89" t="s">
        <v>35</v>
      </c>
      <c r="E22" s="105">
        <v>52.73</v>
      </c>
      <c r="F22" s="104">
        <v>45751</v>
      </c>
      <c r="G22" s="90" t="s">
        <v>31</v>
      </c>
      <c r="H22" s="105">
        <v>153.94</v>
      </c>
      <c r="I22" s="104">
        <v>45784</v>
      </c>
      <c r="J22" s="90" t="s">
        <v>35</v>
      </c>
      <c r="K22" s="105">
        <v>26.36</v>
      </c>
      <c r="L22" s="104">
        <v>45819</v>
      </c>
      <c r="M22" s="90" t="s">
        <v>97</v>
      </c>
      <c r="N22" s="105">
        <v>131.47</v>
      </c>
      <c r="O22" s="86"/>
      <c r="P22" s="64"/>
      <c r="Q22" s="54"/>
      <c r="R22" s="86"/>
      <c r="S22" s="64"/>
      <c r="T22" s="54"/>
      <c r="U22" s="86"/>
      <c r="V22" s="64"/>
      <c r="W22" s="54"/>
      <c r="X22" s="86"/>
      <c r="Y22" s="64"/>
      <c r="Z22" s="54"/>
      <c r="AA22" s="86"/>
      <c r="AB22" s="64"/>
      <c r="AC22" s="54"/>
      <c r="AD22" s="86"/>
      <c r="AE22" s="64"/>
      <c r="AF22" s="54"/>
      <c r="AG22" s="86"/>
      <c r="AH22" s="64"/>
      <c r="AI22" s="54"/>
      <c r="AJ22" s="86"/>
      <c r="AK22" s="64"/>
      <c r="AL22" s="54"/>
      <c r="AM22" s="86"/>
      <c r="AN22" s="64"/>
      <c r="AO22" s="54"/>
      <c r="AP22" s="86"/>
      <c r="AQ22" s="64"/>
      <c r="AR22" s="54"/>
      <c r="AS22" s="86"/>
      <c r="AT22" s="64"/>
      <c r="AU22" s="54"/>
      <c r="AV22" s="86"/>
      <c r="AW22" s="64"/>
      <c r="AX22" s="54"/>
      <c r="AY22" s="86"/>
      <c r="AZ22" s="64"/>
      <c r="BA22" s="54"/>
    </row>
    <row r="23" spans="3:53" ht="15" customHeight="1" x14ac:dyDescent="0.25">
      <c r="C23" s="104">
        <f>C21</f>
        <v>45726</v>
      </c>
      <c r="D23" s="117" t="s">
        <v>42</v>
      </c>
      <c r="E23" s="105">
        <v>3</v>
      </c>
      <c r="F23" s="104">
        <v>45750</v>
      </c>
      <c r="G23" s="90" t="s">
        <v>143</v>
      </c>
      <c r="H23" s="105">
        <v>65</v>
      </c>
      <c r="I23" s="104">
        <v>45785</v>
      </c>
      <c r="J23" s="89" t="s">
        <v>104</v>
      </c>
      <c r="K23" s="105">
        <v>42.8</v>
      </c>
      <c r="L23" s="104">
        <v>45819</v>
      </c>
      <c r="M23" s="90" t="s">
        <v>257</v>
      </c>
      <c r="N23" s="105">
        <v>16</v>
      </c>
      <c r="O23" s="86"/>
      <c r="P23" s="64"/>
      <c r="Q23" s="54"/>
      <c r="R23" s="86"/>
      <c r="S23" s="64"/>
      <c r="T23" s="54"/>
      <c r="U23" s="86"/>
      <c r="V23" s="64"/>
      <c r="W23" s="54"/>
      <c r="X23" s="86"/>
      <c r="Y23" s="64"/>
      <c r="Z23" s="54"/>
      <c r="AA23" s="86"/>
      <c r="AB23" s="64"/>
      <c r="AC23" s="54"/>
      <c r="AD23" s="86"/>
      <c r="AE23" s="64"/>
      <c r="AF23" s="54"/>
      <c r="AG23" s="86"/>
      <c r="AH23" s="64"/>
      <c r="AI23" s="54"/>
      <c r="AJ23" s="86"/>
      <c r="AK23" s="64"/>
      <c r="AL23" s="54"/>
      <c r="AM23" s="86"/>
      <c r="AN23" s="64"/>
      <c r="AO23" s="54"/>
      <c r="AP23" s="86"/>
      <c r="AQ23" s="64"/>
      <c r="AR23" s="54"/>
      <c r="AS23" s="86"/>
      <c r="AT23" s="64"/>
      <c r="AU23" s="54"/>
      <c r="AV23" s="86"/>
      <c r="AW23" s="64"/>
      <c r="AX23" s="54"/>
      <c r="AY23" s="86"/>
      <c r="AZ23" s="64"/>
      <c r="BA23" s="54"/>
    </row>
    <row r="24" spans="3:53" ht="15" customHeight="1" x14ac:dyDescent="0.25">
      <c r="C24" s="104"/>
      <c r="D24" s="90"/>
      <c r="E24" s="105">
        <v>100</v>
      </c>
      <c r="F24" s="104">
        <v>45751</v>
      </c>
      <c r="G24" s="90" t="s">
        <v>48</v>
      </c>
      <c r="H24" s="105">
        <v>57.92</v>
      </c>
      <c r="I24" s="104">
        <v>45785</v>
      </c>
      <c r="J24" s="90" t="s">
        <v>35</v>
      </c>
      <c r="K24" s="105">
        <v>26.65</v>
      </c>
      <c r="L24" s="104">
        <v>45817</v>
      </c>
      <c r="M24" s="90" t="s">
        <v>31</v>
      </c>
      <c r="N24" s="105">
        <v>244.2</v>
      </c>
      <c r="O24" s="86"/>
      <c r="P24" s="64"/>
      <c r="Q24" s="54"/>
      <c r="R24" s="86"/>
      <c r="S24" s="64"/>
      <c r="T24" s="54"/>
      <c r="U24" s="86"/>
      <c r="V24" s="64"/>
      <c r="W24" s="54"/>
      <c r="X24" s="86"/>
      <c r="Y24" s="64"/>
      <c r="Z24" s="54"/>
      <c r="AA24" s="86"/>
      <c r="AB24" s="64"/>
      <c r="AC24" s="54"/>
      <c r="AD24" s="86"/>
      <c r="AE24" s="64"/>
      <c r="AF24" s="54"/>
      <c r="AG24" s="86"/>
      <c r="AH24" s="64"/>
      <c r="AI24" s="54"/>
      <c r="AJ24" s="86"/>
      <c r="AK24" s="64"/>
      <c r="AL24" s="54"/>
      <c r="AM24" s="86"/>
      <c r="AN24" s="64"/>
      <c r="AO24" s="54"/>
      <c r="AP24" s="86"/>
      <c r="AQ24" s="64"/>
      <c r="AR24" s="54"/>
      <c r="AS24" s="86"/>
      <c r="AT24" s="64"/>
      <c r="AU24" s="54"/>
      <c r="AV24" s="86"/>
      <c r="AW24" s="64"/>
      <c r="AX24" s="54"/>
      <c r="AY24" s="86"/>
      <c r="AZ24" s="64"/>
      <c r="BA24" s="54"/>
    </row>
    <row r="25" spans="3:53" ht="15" customHeight="1" x14ac:dyDescent="0.25">
      <c r="C25" s="86"/>
      <c r="D25" s="64"/>
      <c r="E25" s="54"/>
      <c r="F25" s="104">
        <v>45752</v>
      </c>
      <c r="G25" s="90" t="s">
        <v>97</v>
      </c>
      <c r="H25" s="105">
        <v>102.32</v>
      </c>
      <c r="I25" s="104">
        <v>45786</v>
      </c>
      <c r="J25" s="90" t="s">
        <v>72</v>
      </c>
      <c r="K25" s="105">
        <v>17.97</v>
      </c>
      <c r="L25" s="104">
        <v>45817</v>
      </c>
      <c r="M25" s="90" t="s">
        <v>258</v>
      </c>
      <c r="N25" s="105">
        <v>19</v>
      </c>
      <c r="O25" s="86"/>
      <c r="P25" s="64"/>
      <c r="Q25" s="54"/>
      <c r="R25" s="86"/>
      <c r="S25" s="64"/>
      <c r="T25" s="54"/>
      <c r="U25" s="86"/>
      <c r="V25" s="64"/>
      <c r="W25" s="54"/>
      <c r="X25" s="86"/>
      <c r="Y25" s="64"/>
      <c r="Z25" s="54"/>
      <c r="AA25" s="86"/>
      <c r="AB25" s="64"/>
      <c r="AC25" s="54"/>
      <c r="AD25" s="86"/>
      <c r="AE25" s="64"/>
      <c r="AF25" s="54"/>
      <c r="AG25" s="86"/>
      <c r="AH25" s="64"/>
      <c r="AI25" s="54"/>
      <c r="AJ25" s="86"/>
      <c r="AK25" s="64"/>
      <c r="AL25" s="54"/>
      <c r="AM25" s="86"/>
      <c r="AN25" s="64"/>
      <c r="AO25" s="54"/>
      <c r="AP25" s="86"/>
      <c r="AQ25" s="64"/>
      <c r="AR25" s="54"/>
      <c r="AS25" s="86"/>
      <c r="AT25" s="64"/>
      <c r="AU25" s="54"/>
      <c r="AV25" s="86"/>
      <c r="AW25" s="64"/>
      <c r="AX25" s="54"/>
      <c r="AY25" s="86"/>
      <c r="AZ25" s="64"/>
      <c r="BA25" s="54"/>
    </row>
    <row r="26" spans="3:53" ht="15" customHeight="1" x14ac:dyDescent="0.25">
      <c r="C26" s="69"/>
      <c r="D26" s="64"/>
      <c r="E26" s="54"/>
      <c r="F26" s="104">
        <v>45752</v>
      </c>
      <c r="G26" s="90" t="s">
        <v>121</v>
      </c>
      <c r="H26" s="105">
        <v>40.51</v>
      </c>
      <c r="I26" s="104">
        <v>45786</v>
      </c>
      <c r="J26" s="90" t="s">
        <v>33</v>
      </c>
      <c r="K26" s="105">
        <v>23.76</v>
      </c>
      <c r="L26" s="69"/>
      <c r="M26" s="64"/>
      <c r="N26" s="54"/>
      <c r="O26" s="69"/>
      <c r="P26" s="64"/>
      <c r="Q26" s="54"/>
      <c r="R26" s="69"/>
      <c r="S26" s="64"/>
      <c r="T26" s="54"/>
      <c r="U26" s="69"/>
      <c r="V26" s="64"/>
      <c r="W26" s="54"/>
      <c r="X26" s="69"/>
      <c r="Y26" s="64"/>
      <c r="Z26" s="54"/>
      <c r="AA26" s="69"/>
      <c r="AB26" s="64"/>
      <c r="AC26" s="54"/>
      <c r="AD26" s="69"/>
      <c r="AE26" s="64"/>
      <c r="AF26" s="54"/>
      <c r="AG26" s="69"/>
      <c r="AH26" s="64"/>
      <c r="AI26" s="54"/>
      <c r="AJ26" s="69"/>
      <c r="AK26" s="64"/>
      <c r="AL26" s="54"/>
      <c r="AM26" s="69"/>
      <c r="AN26" s="64"/>
      <c r="AO26" s="54"/>
      <c r="AP26" s="69"/>
      <c r="AQ26" s="64"/>
      <c r="AR26" s="54"/>
      <c r="AS26" s="69"/>
      <c r="AT26" s="64"/>
      <c r="AU26" s="54"/>
      <c r="AV26" s="69"/>
      <c r="AW26" s="64"/>
      <c r="AX26" s="54"/>
      <c r="AY26" s="69"/>
      <c r="AZ26" s="64"/>
      <c r="BA26" s="54"/>
    </row>
    <row r="27" spans="3:53" ht="15" customHeight="1" x14ac:dyDescent="0.25">
      <c r="C27" s="52"/>
      <c r="D27" s="64"/>
      <c r="E27" s="54"/>
      <c r="F27" s="104">
        <v>45756</v>
      </c>
      <c r="G27" s="90" t="s">
        <v>178</v>
      </c>
      <c r="H27" s="105">
        <f>274.7/2</f>
        <v>137.35</v>
      </c>
      <c r="I27" s="104">
        <v>45786</v>
      </c>
      <c r="J27" s="90" t="s">
        <v>115</v>
      </c>
      <c r="K27" s="105">
        <v>80</v>
      </c>
      <c r="L27" s="52"/>
      <c r="M27" s="64"/>
      <c r="N27" s="54"/>
      <c r="O27" s="52"/>
      <c r="P27" s="64"/>
      <c r="Q27" s="54"/>
      <c r="R27" s="52"/>
      <c r="S27" s="64"/>
      <c r="T27" s="54"/>
      <c r="U27" s="52"/>
      <c r="V27" s="64"/>
      <c r="W27" s="54"/>
      <c r="X27" s="52"/>
      <c r="Y27" s="64"/>
      <c r="Z27" s="54"/>
      <c r="AA27" s="52"/>
      <c r="AB27" s="64"/>
      <c r="AC27" s="54"/>
      <c r="AD27" s="52"/>
      <c r="AE27" s="64"/>
      <c r="AF27" s="54"/>
      <c r="AG27" s="52"/>
      <c r="AH27" s="64"/>
      <c r="AI27" s="54"/>
      <c r="AJ27" s="52"/>
      <c r="AK27" s="64"/>
      <c r="AL27" s="54"/>
      <c r="AM27" s="52"/>
      <c r="AN27" s="64"/>
      <c r="AO27" s="54"/>
      <c r="AP27" s="52"/>
      <c r="AQ27" s="64"/>
      <c r="AR27" s="54"/>
      <c r="AS27" s="52"/>
      <c r="AT27" s="64"/>
      <c r="AU27" s="54"/>
      <c r="AV27" s="52"/>
      <c r="AW27" s="64"/>
      <c r="AX27" s="54"/>
      <c r="AY27" s="52"/>
      <c r="AZ27" s="64"/>
      <c r="BA27" s="54"/>
    </row>
    <row r="28" spans="3:53" ht="15" customHeight="1" thickBot="1" x14ac:dyDescent="0.3">
      <c r="C28" s="70"/>
      <c r="D28" s="71"/>
      <c r="E28" s="72"/>
      <c r="F28" s="118"/>
      <c r="G28" s="119"/>
      <c r="H28" s="120">
        <v>300</v>
      </c>
      <c r="I28" s="104">
        <v>45786</v>
      </c>
      <c r="J28" s="90" t="s">
        <v>33</v>
      </c>
      <c r="K28" s="105">
        <v>29.59</v>
      </c>
      <c r="L28" s="70"/>
      <c r="M28" s="71"/>
      <c r="N28" s="72"/>
      <c r="O28" s="70"/>
      <c r="P28" s="71"/>
      <c r="Q28" s="72"/>
      <c r="R28" s="70"/>
      <c r="S28" s="71"/>
      <c r="T28" s="72"/>
      <c r="U28" s="70"/>
      <c r="V28" s="71"/>
      <c r="W28" s="72"/>
      <c r="X28" s="70"/>
      <c r="Y28" s="71"/>
      <c r="Z28" s="72"/>
      <c r="AA28" s="70"/>
      <c r="AB28" s="71"/>
      <c r="AC28" s="72"/>
      <c r="AD28" s="70"/>
      <c r="AE28" s="71"/>
      <c r="AF28" s="72"/>
      <c r="AG28" s="70"/>
      <c r="AH28" s="71"/>
      <c r="AI28" s="72"/>
      <c r="AJ28" s="70"/>
      <c r="AK28" s="71"/>
      <c r="AL28" s="72"/>
      <c r="AM28" s="70"/>
      <c r="AN28" s="71"/>
      <c r="AO28" s="72"/>
      <c r="AP28" s="70"/>
      <c r="AQ28" s="71"/>
      <c r="AR28" s="72"/>
      <c r="AS28" s="70"/>
      <c r="AT28" s="71"/>
      <c r="AU28" s="72"/>
      <c r="AV28" s="70"/>
      <c r="AW28" s="71"/>
      <c r="AX28" s="72"/>
      <c r="AY28" s="70"/>
      <c r="AZ28" s="71"/>
      <c r="BA28" s="72"/>
    </row>
    <row r="29" spans="3:53" ht="15" customHeight="1" thickBot="1" x14ac:dyDescent="0.3">
      <c r="E29" s="73">
        <f>SUM(E2:E28)</f>
        <v>7080.0372222222213</v>
      </c>
      <c r="H29" s="73">
        <f>SUM(H2:H28)</f>
        <v>7312.5972222222217</v>
      </c>
      <c r="I29" s="104">
        <v>45786</v>
      </c>
      <c r="J29" s="90" t="s">
        <v>216</v>
      </c>
      <c r="K29" s="105">
        <f>230/2</f>
        <v>115</v>
      </c>
      <c r="N29" s="73">
        <f>SUM(N2:N28)</f>
        <v>3200.4022222222225</v>
      </c>
      <c r="Q29" s="73">
        <f>SUM(Q2:Q28)</f>
        <v>2166.6122222222225</v>
      </c>
      <c r="T29" s="73">
        <f>SUM(T2:T28)</f>
        <v>2924.5722222222225</v>
      </c>
      <c r="W29" s="73">
        <f>SUM(W2:W28)</f>
        <v>258.25</v>
      </c>
      <c r="Z29" s="73">
        <f>SUM(Z2:Z28)</f>
        <v>168.25</v>
      </c>
      <c r="AC29" s="73">
        <f>SUM(AC2:AC28)</f>
        <v>121.64999999999999</v>
      </c>
      <c r="AF29" s="73">
        <f>SUM(AF2:AF28)</f>
        <v>121.64999999999999</v>
      </c>
      <c r="AI29" s="73">
        <f>SUM(AI2:AI28)</f>
        <v>121.64999999999999</v>
      </c>
      <c r="AL29" s="73">
        <f>SUM(AL2:AL28)</f>
        <v>121.64999999999999</v>
      </c>
      <c r="AO29" s="73">
        <f>SUM(AO2:AO28)</f>
        <v>121.64999999999999</v>
      </c>
      <c r="AR29" s="73">
        <f>SUM(AR2:AR28)</f>
        <v>121.64999999999999</v>
      </c>
      <c r="AU29" s="73">
        <f>SUM(AU2:AU28)</f>
        <v>121.64999999999999</v>
      </c>
      <c r="AX29" s="73">
        <f>SUM(AX2:AX28)</f>
        <v>121.64999999999999</v>
      </c>
      <c r="BA29" s="73">
        <f>SUM(BA2:BA28)</f>
        <v>121.64999999999999</v>
      </c>
    </row>
    <row r="30" spans="3:53" ht="15" customHeight="1" x14ac:dyDescent="0.25">
      <c r="I30" s="104">
        <v>45786</v>
      </c>
      <c r="J30" s="90" t="s">
        <v>103</v>
      </c>
      <c r="K30" s="105">
        <v>67.5</v>
      </c>
    </row>
    <row r="31" spans="3:53" ht="15" customHeight="1" x14ac:dyDescent="0.25">
      <c r="I31" s="104">
        <f>I29</f>
        <v>45786</v>
      </c>
      <c r="J31" s="117" t="s">
        <v>42</v>
      </c>
      <c r="K31" s="105">
        <v>3</v>
      </c>
    </row>
    <row r="32" spans="3:53" ht="15" customHeight="1" x14ac:dyDescent="0.25">
      <c r="I32" s="104">
        <v>45786</v>
      </c>
      <c r="J32" s="90" t="s">
        <v>31</v>
      </c>
      <c r="K32" s="105">
        <f>222.13+220.94</f>
        <v>443.07</v>
      </c>
    </row>
    <row r="33" spans="9:11" ht="15" customHeight="1" x14ac:dyDescent="0.25">
      <c r="I33" s="104">
        <v>45786</v>
      </c>
      <c r="J33" s="90" t="s">
        <v>219</v>
      </c>
      <c r="K33" s="105">
        <v>295.8</v>
      </c>
    </row>
    <row r="34" spans="9:11" ht="15" customHeight="1" x14ac:dyDescent="0.25">
      <c r="I34" s="86"/>
      <c r="J34" s="64"/>
      <c r="K34" s="54"/>
    </row>
    <row r="35" spans="9:11" ht="15" customHeight="1" thickBot="1" x14ac:dyDescent="0.3">
      <c r="I35" s="70"/>
      <c r="J35" s="71"/>
      <c r="K35" s="72"/>
    </row>
    <row r="36" spans="9:11" ht="15" customHeight="1" thickBot="1" x14ac:dyDescent="0.3">
      <c r="K36" s="73">
        <f>SUM(K2:K35)</f>
        <v>4256.1822222222236</v>
      </c>
    </row>
    <row r="37" spans="9:11" ht="15" customHeight="1" x14ac:dyDescent="0.25"/>
    <row r="38" spans="9:11" ht="15" customHeight="1" x14ac:dyDescent="0.25"/>
    <row r="39" spans="9:11" ht="15" customHeight="1" x14ac:dyDescent="0.25"/>
    <row r="40" spans="9:11" ht="15" customHeight="1" x14ac:dyDescent="0.25"/>
    <row r="41" spans="9:11" ht="15" customHeight="1" x14ac:dyDescent="0.25"/>
    <row r="42" spans="9:11" ht="15" customHeight="1" x14ac:dyDescent="0.25"/>
    <row r="43" spans="9:11" ht="15" customHeight="1" x14ac:dyDescent="0.25"/>
    <row r="44" spans="9:11" ht="15" customHeight="1" x14ac:dyDescent="0.25"/>
    <row r="45" spans="9:11" ht="15" customHeight="1" x14ac:dyDescent="0.25"/>
    <row r="46" spans="9:11" ht="15" customHeight="1" x14ac:dyDescent="0.25"/>
    <row r="47" spans="9:11" ht="15" customHeight="1" x14ac:dyDescent="0.25"/>
    <row r="48" spans="9:11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</sheetData>
  <sortState xmlns:xlrd2="http://schemas.microsoft.com/office/spreadsheetml/2017/richdata2" ref="O3:Q15">
    <sortCondition ref="O3:O15"/>
  </sortState>
  <mergeCells count="17">
    <mergeCell ref="U1:W1"/>
    <mergeCell ref="R1:T1"/>
    <mergeCell ref="O1:Q1"/>
    <mergeCell ref="L1:N1"/>
    <mergeCell ref="C1:E1"/>
    <mergeCell ref="F1:H1"/>
    <mergeCell ref="I1:K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AY1:BA1"/>
  </mergeCells>
  <pageMargins left="0.78749999999999998" right="0.78749999999999998" top="0.98402777777777795" bottom="0.98402777777777795" header="0.51180555555555496" footer="0.51180555555555496"/>
  <pageSetup paperSize="9" firstPageNumber="0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L29"/>
  <sheetViews>
    <sheetView zoomScale="130" zoomScaleNormal="130" workbookViewId="0">
      <pane xSplit="2" ySplit="1" topLeftCell="I2" activePane="bottomRight" state="frozen"/>
      <selection activeCell="CE31" sqref="CE31"/>
      <selection pane="topRight" activeCell="CE31" sqref="CE31"/>
      <selection pane="bottomLeft" activeCell="CE31" sqref="CE31"/>
      <selection pane="bottomRight" activeCell="Q10" sqref="Q10"/>
    </sheetView>
  </sheetViews>
  <sheetFormatPr defaultColWidth="8.42578125" defaultRowHeight="15" customHeight="1" x14ac:dyDescent="0.2"/>
  <cols>
    <col min="1" max="1" width="24.42578125" customWidth="1"/>
    <col min="2" max="2" width="13.7109375" customWidth="1"/>
    <col min="4" max="4" width="13.7109375" bestFit="1" customWidth="1"/>
    <col min="5" max="5" width="8.7109375" bestFit="1" customWidth="1"/>
    <col min="7" max="7" width="13.7109375" bestFit="1" customWidth="1"/>
    <col min="13" max="13" width="12.42578125" bestFit="1" customWidth="1"/>
    <col min="14" max="14" width="8.7109375" bestFit="1" customWidth="1"/>
    <col min="17" max="17" width="8.7109375" bestFit="1" customWidth="1"/>
    <col min="20" max="20" width="8.7109375" bestFit="1" customWidth="1"/>
    <col min="23" max="23" width="8.7109375" bestFit="1" customWidth="1"/>
  </cols>
  <sheetData>
    <row r="1" spans="1:38" ht="15" customHeight="1" thickBot="1" x14ac:dyDescent="0.25">
      <c r="A1" s="33" t="s">
        <v>23</v>
      </c>
      <c r="B1" s="34" t="s">
        <v>0</v>
      </c>
      <c r="C1" s="158">
        <v>45748</v>
      </c>
      <c r="D1" s="158"/>
      <c r="E1" s="158"/>
      <c r="F1" s="158">
        <f>C1+31</f>
        <v>45779</v>
      </c>
      <c r="G1" s="158"/>
      <c r="H1" s="158"/>
      <c r="I1" s="158">
        <f>F1+31</f>
        <v>45810</v>
      </c>
      <c r="J1" s="158"/>
      <c r="K1" s="158"/>
      <c r="L1" s="158">
        <f>I1+31</f>
        <v>45841</v>
      </c>
      <c r="M1" s="158"/>
      <c r="N1" s="158"/>
      <c r="O1" s="158">
        <f>L1+31</f>
        <v>45872</v>
      </c>
      <c r="P1" s="158"/>
      <c r="Q1" s="158"/>
      <c r="R1" s="158">
        <f>O1+31</f>
        <v>45903</v>
      </c>
      <c r="S1" s="158"/>
      <c r="T1" s="158"/>
      <c r="U1" s="158">
        <f>R1+31</f>
        <v>45934</v>
      </c>
      <c r="V1" s="158"/>
      <c r="W1" s="158"/>
      <c r="X1" s="158">
        <f>U1+31</f>
        <v>45965</v>
      </c>
      <c r="Y1" s="158"/>
      <c r="Z1" s="158"/>
      <c r="AA1" s="158">
        <f>X1+31</f>
        <v>45996</v>
      </c>
      <c r="AB1" s="158"/>
      <c r="AC1" s="158"/>
      <c r="AD1" s="158">
        <f>AA1+31</f>
        <v>46027</v>
      </c>
      <c r="AE1" s="158"/>
      <c r="AF1" s="158"/>
      <c r="AG1" s="158">
        <f>AD1+31</f>
        <v>46058</v>
      </c>
      <c r="AH1" s="158"/>
      <c r="AI1" s="158"/>
      <c r="AJ1" s="158">
        <f>AG1+31</f>
        <v>46089</v>
      </c>
      <c r="AK1" s="158"/>
      <c r="AL1" s="158"/>
    </row>
    <row r="2" spans="1:38" s="3" customFormat="1" ht="15" customHeight="1" x14ac:dyDescent="0.2">
      <c r="A2" s="35" t="s">
        <v>12</v>
      </c>
      <c r="B2" s="36"/>
      <c r="C2" s="37" t="s">
        <v>24</v>
      </c>
      <c r="D2" s="38" t="s">
        <v>25</v>
      </c>
      <c r="E2" s="39" t="s">
        <v>0</v>
      </c>
      <c r="F2" s="37" t="s">
        <v>24</v>
      </c>
      <c r="G2" s="38" t="s">
        <v>25</v>
      </c>
      <c r="H2" s="39" t="s">
        <v>0</v>
      </c>
      <c r="I2" s="37" t="s">
        <v>24</v>
      </c>
      <c r="J2" s="38" t="s">
        <v>25</v>
      </c>
      <c r="K2" s="39" t="s">
        <v>0</v>
      </c>
      <c r="L2" s="37" t="s">
        <v>24</v>
      </c>
      <c r="M2" s="38" t="s">
        <v>25</v>
      </c>
      <c r="N2" s="39" t="s">
        <v>0</v>
      </c>
      <c r="O2" s="37" t="s">
        <v>24</v>
      </c>
      <c r="P2" s="38" t="s">
        <v>25</v>
      </c>
      <c r="Q2" s="39" t="s">
        <v>0</v>
      </c>
      <c r="R2" s="37" t="s">
        <v>24</v>
      </c>
      <c r="S2" s="38" t="s">
        <v>25</v>
      </c>
      <c r="T2" s="39" t="s">
        <v>0</v>
      </c>
      <c r="U2" s="37" t="s">
        <v>24</v>
      </c>
      <c r="V2" s="38" t="s">
        <v>25</v>
      </c>
      <c r="W2" s="39" t="s">
        <v>0</v>
      </c>
      <c r="X2" s="37" t="s">
        <v>24</v>
      </c>
      <c r="Y2" s="38" t="s">
        <v>25</v>
      </c>
      <c r="Z2" s="39" t="s">
        <v>0</v>
      </c>
      <c r="AA2" s="37" t="s">
        <v>24</v>
      </c>
      <c r="AB2" s="38" t="s">
        <v>25</v>
      </c>
      <c r="AC2" s="39" t="s">
        <v>0</v>
      </c>
      <c r="AD2" s="37" t="s">
        <v>24</v>
      </c>
      <c r="AE2" s="38" t="s">
        <v>25</v>
      </c>
      <c r="AF2" s="39" t="s">
        <v>0</v>
      </c>
      <c r="AG2" s="37" t="s">
        <v>24</v>
      </c>
      <c r="AH2" s="38" t="s">
        <v>25</v>
      </c>
      <c r="AI2" s="39" t="s">
        <v>0</v>
      </c>
      <c r="AJ2" s="37" t="s">
        <v>24</v>
      </c>
      <c r="AK2" s="38" t="s">
        <v>25</v>
      </c>
      <c r="AL2" s="39" t="s">
        <v>0</v>
      </c>
    </row>
    <row r="3" spans="1:38" ht="15" customHeight="1" x14ac:dyDescent="0.25">
      <c r="A3" s="35" t="s">
        <v>26</v>
      </c>
      <c r="B3" s="40">
        <v>0</v>
      </c>
      <c r="C3" s="109">
        <v>42621</v>
      </c>
      <c r="D3" s="108" t="s">
        <v>57</v>
      </c>
      <c r="E3" s="107">
        <v>46.5</v>
      </c>
      <c r="F3" s="109">
        <v>42621</v>
      </c>
      <c r="G3" s="108" t="s">
        <v>57</v>
      </c>
      <c r="H3" s="107">
        <v>46.5</v>
      </c>
      <c r="I3" s="109">
        <v>42621</v>
      </c>
      <c r="J3" s="108" t="s">
        <v>57</v>
      </c>
      <c r="K3" s="107">
        <v>46.5</v>
      </c>
      <c r="L3" s="109">
        <v>42621</v>
      </c>
      <c r="M3" s="108" t="s">
        <v>57</v>
      </c>
      <c r="N3" s="107">
        <v>46.5</v>
      </c>
      <c r="O3" s="44">
        <v>42621</v>
      </c>
      <c r="P3" s="42" t="s">
        <v>57</v>
      </c>
      <c r="Q3" s="43">
        <v>46.5</v>
      </c>
      <c r="R3" s="44">
        <v>42621</v>
      </c>
      <c r="S3" s="42" t="s">
        <v>57</v>
      </c>
      <c r="T3" s="43">
        <v>46.5</v>
      </c>
      <c r="U3" s="44">
        <v>42621</v>
      </c>
      <c r="V3" s="42" t="s">
        <v>57</v>
      </c>
      <c r="W3" s="43">
        <v>46.5</v>
      </c>
      <c r="X3" s="44">
        <v>42621</v>
      </c>
      <c r="Y3" s="42" t="s">
        <v>57</v>
      </c>
      <c r="Z3" s="43">
        <v>46.5</v>
      </c>
      <c r="AA3" s="44">
        <v>42621</v>
      </c>
      <c r="AB3" s="42" t="s">
        <v>57</v>
      </c>
      <c r="AC3" s="43">
        <v>46.5</v>
      </c>
      <c r="AD3" s="44">
        <v>42621</v>
      </c>
      <c r="AE3" s="42" t="s">
        <v>57</v>
      </c>
      <c r="AF3" s="43">
        <v>46.5</v>
      </c>
      <c r="AG3" s="44">
        <v>42621</v>
      </c>
      <c r="AH3" s="42" t="s">
        <v>57</v>
      </c>
      <c r="AI3" s="43">
        <v>46.5</v>
      </c>
      <c r="AJ3" s="44">
        <v>42621</v>
      </c>
      <c r="AK3" s="42" t="s">
        <v>57</v>
      </c>
      <c r="AL3" s="43">
        <v>46.5</v>
      </c>
    </row>
    <row r="4" spans="1:38" ht="15" customHeight="1" x14ac:dyDescent="0.25">
      <c r="A4" s="35" t="s">
        <v>27</v>
      </c>
      <c r="B4" s="40">
        <v>0</v>
      </c>
      <c r="C4" s="109">
        <v>45647</v>
      </c>
      <c r="D4" s="108" t="s">
        <v>118</v>
      </c>
      <c r="E4" s="107">
        <f>4951/6</f>
        <v>825.16666666666663</v>
      </c>
      <c r="F4" s="109">
        <v>45647</v>
      </c>
      <c r="G4" s="108" t="s">
        <v>117</v>
      </c>
      <c r="H4" s="107">
        <f>4951/6</f>
        <v>825.16666666666663</v>
      </c>
      <c r="I4" s="109">
        <v>45647</v>
      </c>
      <c r="J4" s="108" t="s">
        <v>116</v>
      </c>
      <c r="K4" s="107">
        <f>4951/6</f>
        <v>825.16666666666663</v>
      </c>
      <c r="L4" s="109">
        <v>45706</v>
      </c>
      <c r="M4" s="108" t="s">
        <v>157</v>
      </c>
      <c r="N4" s="107">
        <v>82.38</v>
      </c>
      <c r="O4" s="44">
        <v>45677</v>
      </c>
      <c r="P4" s="42" t="s">
        <v>131</v>
      </c>
      <c r="Q4" s="43">
        <v>1000</v>
      </c>
      <c r="R4" s="44">
        <v>45706</v>
      </c>
      <c r="S4" s="42" t="s">
        <v>155</v>
      </c>
      <c r="T4" s="43">
        <v>82.38</v>
      </c>
      <c r="U4" s="44">
        <v>45726</v>
      </c>
      <c r="V4" s="42" t="s">
        <v>294</v>
      </c>
      <c r="W4" s="43">
        <v>18.899999999999999</v>
      </c>
      <c r="X4" s="44">
        <v>45726</v>
      </c>
      <c r="Y4" s="42" t="s">
        <v>293</v>
      </c>
      <c r="Z4" s="43">
        <v>18.899999999999999</v>
      </c>
      <c r="AA4" s="44">
        <v>45726</v>
      </c>
      <c r="AB4" s="42" t="s">
        <v>292</v>
      </c>
      <c r="AC4" s="43">
        <v>18.899999999999999</v>
      </c>
      <c r="AD4" s="44"/>
      <c r="AE4" s="42"/>
      <c r="AF4" s="43"/>
      <c r="AG4" s="44"/>
      <c r="AH4" s="42"/>
      <c r="AI4" s="43"/>
      <c r="AJ4" s="44"/>
      <c r="AK4" s="42"/>
      <c r="AL4" s="43"/>
    </row>
    <row r="5" spans="1:38" ht="15" customHeight="1" x14ac:dyDescent="0.25">
      <c r="A5" s="35" t="s">
        <v>56</v>
      </c>
      <c r="B5" s="95">
        <v>2070</v>
      </c>
      <c r="C5" s="109">
        <v>45492</v>
      </c>
      <c r="D5" s="108" t="s">
        <v>83</v>
      </c>
      <c r="E5" s="107">
        <f>241.9</f>
        <v>241.9</v>
      </c>
      <c r="F5" s="109">
        <v>45492</v>
      </c>
      <c r="G5" s="108" t="s">
        <v>84</v>
      </c>
      <c r="H5" s="107">
        <f>241.9</f>
        <v>241.9</v>
      </c>
      <c r="I5" s="109">
        <v>45706</v>
      </c>
      <c r="J5" s="108" t="s">
        <v>158</v>
      </c>
      <c r="K5" s="107">
        <v>82.38</v>
      </c>
      <c r="L5" s="109">
        <v>45793</v>
      </c>
      <c r="M5" s="108" t="s">
        <v>222</v>
      </c>
      <c r="N5" s="107">
        <f>940.69/2</f>
        <v>470.34500000000003</v>
      </c>
      <c r="O5" s="44">
        <v>45706</v>
      </c>
      <c r="P5" s="42" t="s">
        <v>156</v>
      </c>
      <c r="Q5" s="43">
        <v>82.38</v>
      </c>
      <c r="R5" s="44">
        <v>45726</v>
      </c>
      <c r="S5" s="42" t="s">
        <v>295</v>
      </c>
      <c r="T5" s="43">
        <v>18.899999999999999</v>
      </c>
      <c r="U5" s="44"/>
      <c r="V5" s="42"/>
      <c r="W5" s="43"/>
      <c r="X5" s="44"/>
      <c r="Y5" s="42"/>
      <c r="Z5" s="43"/>
      <c r="AA5" s="44"/>
      <c r="AB5" s="42"/>
      <c r="AC5" s="43"/>
      <c r="AD5" s="44"/>
      <c r="AE5" s="42"/>
      <c r="AF5" s="43"/>
      <c r="AG5" s="44"/>
      <c r="AH5" s="42"/>
      <c r="AI5" s="43"/>
      <c r="AJ5" s="44"/>
      <c r="AK5" s="42"/>
      <c r="AL5" s="43"/>
    </row>
    <row r="6" spans="1:38" ht="15" customHeight="1" x14ac:dyDescent="0.25">
      <c r="A6" s="35" t="s">
        <v>28</v>
      </c>
      <c r="B6" s="40">
        <v>20</v>
      </c>
      <c r="C6" s="109">
        <v>45706</v>
      </c>
      <c r="D6" s="108" t="s">
        <v>154</v>
      </c>
      <c r="E6" s="107">
        <v>119.65</v>
      </c>
      <c r="F6" s="109">
        <v>45706</v>
      </c>
      <c r="G6" s="108" t="s">
        <v>159</v>
      </c>
      <c r="H6" s="107">
        <v>82.38</v>
      </c>
      <c r="I6" s="109">
        <v>45746</v>
      </c>
      <c r="J6" s="108" t="s">
        <v>172</v>
      </c>
      <c r="K6" s="107">
        <f>234.3/3</f>
        <v>78.100000000000009</v>
      </c>
      <c r="L6" s="109">
        <v>45848</v>
      </c>
      <c r="M6" s="108" t="s">
        <v>277</v>
      </c>
      <c r="N6" s="107">
        <v>63.91</v>
      </c>
      <c r="O6" s="44">
        <v>45854</v>
      </c>
      <c r="P6" s="42" t="s">
        <v>290</v>
      </c>
      <c r="Q6" s="43">
        <v>269</v>
      </c>
      <c r="R6" s="44"/>
      <c r="S6" s="42"/>
      <c r="T6" s="43"/>
      <c r="U6" s="44"/>
      <c r="V6" s="42"/>
      <c r="W6" s="43"/>
      <c r="X6" s="44"/>
      <c r="Y6" s="42"/>
      <c r="Z6" s="43"/>
      <c r="AA6" s="44"/>
      <c r="AB6" s="42"/>
      <c r="AC6" s="43"/>
      <c r="AD6" s="44"/>
      <c r="AE6" s="42"/>
      <c r="AF6" s="43"/>
      <c r="AG6" s="44"/>
      <c r="AH6" s="42"/>
      <c r="AI6" s="43"/>
      <c r="AJ6" s="44"/>
      <c r="AK6" s="42"/>
      <c r="AL6" s="43"/>
    </row>
    <row r="7" spans="1:38" ht="15" customHeight="1" x14ac:dyDescent="0.25">
      <c r="A7" s="35" t="s">
        <v>29</v>
      </c>
      <c r="B7" s="40">
        <v>0</v>
      </c>
      <c r="C7" s="109">
        <v>45706</v>
      </c>
      <c r="D7" s="108" t="s">
        <v>160</v>
      </c>
      <c r="E7" s="107">
        <v>82.38</v>
      </c>
      <c r="F7" s="109">
        <v>45736</v>
      </c>
      <c r="G7" s="108" t="s">
        <v>166</v>
      </c>
      <c r="H7" s="107">
        <f>290/2</f>
        <v>145</v>
      </c>
      <c r="I7" s="109">
        <v>45793</v>
      </c>
      <c r="J7" s="108" t="s">
        <v>221</v>
      </c>
      <c r="K7" s="107">
        <f>940.69/2</f>
        <v>470.34500000000003</v>
      </c>
      <c r="L7" s="109">
        <v>45841</v>
      </c>
      <c r="M7" s="108" t="s">
        <v>276</v>
      </c>
      <c r="N7" s="107">
        <v>1433.21</v>
      </c>
      <c r="O7" s="44">
        <v>45726</v>
      </c>
      <c r="P7" s="42" t="s">
        <v>296</v>
      </c>
      <c r="Q7" s="43">
        <v>18.899999999999999</v>
      </c>
      <c r="R7" s="44"/>
      <c r="S7" s="42"/>
      <c r="T7" s="43"/>
      <c r="U7" s="44"/>
      <c r="V7" s="42"/>
      <c r="W7" s="43"/>
      <c r="X7" s="44"/>
      <c r="Y7" s="42"/>
      <c r="Z7" s="43"/>
      <c r="AA7" s="44"/>
      <c r="AB7" s="42"/>
      <c r="AC7" s="43"/>
      <c r="AD7" s="44"/>
      <c r="AE7" s="42"/>
      <c r="AF7" s="43"/>
      <c r="AG7" s="44"/>
      <c r="AH7" s="42"/>
      <c r="AI7" s="43"/>
      <c r="AJ7" s="44"/>
      <c r="AK7" s="42"/>
      <c r="AL7" s="43"/>
    </row>
    <row r="8" spans="1:38" ht="15" customHeight="1" x14ac:dyDescent="0.25">
      <c r="A8" s="35" t="s">
        <v>30</v>
      </c>
      <c r="B8" s="40">
        <v>0</v>
      </c>
      <c r="C8" s="109">
        <v>45739</v>
      </c>
      <c r="D8" s="108" t="s">
        <v>38</v>
      </c>
      <c r="E8" s="107">
        <v>44.24</v>
      </c>
      <c r="F8" s="109">
        <v>45746</v>
      </c>
      <c r="G8" s="108" t="s">
        <v>173</v>
      </c>
      <c r="H8" s="107">
        <f>234.3/3</f>
        <v>78.100000000000009</v>
      </c>
      <c r="I8" s="109">
        <v>45796</v>
      </c>
      <c r="J8" s="108" t="s">
        <v>91</v>
      </c>
      <c r="K8" s="107">
        <v>80</v>
      </c>
      <c r="L8" s="109">
        <v>45726</v>
      </c>
      <c r="M8" s="108" t="s">
        <v>291</v>
      </c>
      <c r="N8" s="107">
        <v>18.899999999999999</v>
      </c>
      <c r="O8" s="44">
        <v>45859</v>
      </c>
      <c r="P8" s="42" t="s">
        <v>301</v>
      </c>
      <c r="Q8" s="43">
        <v>10</v>
      </c>
      <c r="R8" s="44"/>
      <c r="S8" s="42"/>
      <c r="T8" s="43"/>
      <c r="U8" s="44"/>
      <c r="V8" s="42"/>
      <c r="W8" s="43"/>
      <c r="X8" s="44"/>
      <c r="Y8" s="42"/>
      <c r="Z8" s="43"/>
      <c r="AA8" s="44"/>
      <c r="AB8" s="42"/>
      <c r="AC8" s="43"/>
      <c r="AD8" s="44"/>
      <c r="AE8" s="42"/>
      <c r="AF8" s="43"/>
      <c r="AG8" s="44"/>
      <c r="AH8" s="42"/>
      <c r="AI8" s="43"/>
      <c r="AJ8" s="44"/>
      <c r="AK8" s="42"/>
      <c r="AL8" s="43"/>
    </row>
    <row r="9" spans="1:38" ht="15" customHeight="1" x14ac:dyDescent="0.25">
      <c r="A9" s="35" t="s">
        <v>32</v>
      </c>
      <c r="B9" s="40">
        <v>0</v>
      </c>
      <c r="C9" s="109">
        <v>45737</v>
      </c>
      <c r="D9" s="108" t="s">
        <v>161</v>
      </c>
      <c r="E9" s="107">
        <v>79.8</v>
      </c>
      <c r="F9" s="109">
        <v>45783</v>
      </c>
      <c r="G9" s="108" t="s">
        <v>213</v>
      </c>
      <c r="H9" s="107">
        <v>243</v>
      </c>
      <c r="I9" s="109">
        <v>45796</v>
      </c>
      <c r="J9" s="108" t="s">
        <v>31</v>
      </c>
      <c r="K9" s="107">
        <v>100</v>
      </c>
      <c r="L9" s="44"/>
      <c r="M9" s="42"/>
      <c r="N9" s="43"/>
      <c r="O9" s="44"/>
      <c r="P9" s="42"/>
      <c r="Q9" s="43">
        <v>300</v>
      </c>
      <c r="R9" s="44"/>
      <c r="S9" s="42"/>
      <c r="T9" s="43"/>
      <c r="U9" s="44"/>
      <c r="V9" s="42"/>
      <c r="W9" s="43"/>
      <c r="X9" s="44"/>
      <c r="Y9" s="42"/>
      <c r="Z9" s="43"/>
      <c r="AA9" s="44"/>
      <c r="AB9" s="42"/>
      <c r="AC9" s="43"/>
      <c r="AD9" s="44"/>
      <c r="AE9" s="42"/>
      <c r="AF9" s="43"/>
      <c r="AG9" s="44"/>
      <c r="AH9" s="42"/>
      <c r="AI9" s="43"/>
      <c r="AJ9" s="44"/>
      <c r="AK9" s="42"/>
      <c r="AL9" s="43"/>
    </row>
    <row r="10" spans="1:38" ht="15" customHeight="1" x14ac:dyDescent="0.25">
      <c r="A10" s="35" t="s">
        <v>28</v>
      </c>
      <c r="B10" s="40">
        <v>0</v>
      </c>
      <c r="C10" s="109">
        <v>45739</v>
      </c>
      <c r="D10" s="108" t="s">
        <v>67</v>
      </c>
      <c r="E10" s="107">
        <v>19.78</v>
      </c>
      <c r="F10" s="44"/>
      <c r="G10" s="42"/>
      <c r="H10" s="43"/>
      <c r="I10" s="109">
        <v>45796</v>
      </c>
      <c r="J10" s="108" t="s">
        <v>106</v>
      </c>
      <c r="K10" s="107">
        <v>35</v>
      </c>
      <c r="L10" s="44"/>
      <c r="M10" s="42"/>
      <c r="N10" s="43"/>
      <c r="O10" s="44"/>
      <c r="P10" s="42"/>
      <c r="Q10" s="43"/>
      <c r="R10" s="44"/>
      <c r="S10" s="42"/>
      <c r="T10" s="43"/>
      <c r="U10" s="44"/>
      <c r="V10" s="42"/>
      <c r="W10" s="43"/>
      <c r="X10" s="44"/>
      <c r="Y10" s="42"/>
      <c r="Z10" s="43"/>
      <c r="AA10" s="44"/>
      <c r="AB10" s="42"/>
      <c r="AC10" s="43"/>
      <c r="AD10" s="44"/>
      <c r="AE10" s="42"/>
      <c r="AF10" s="43"/>
      <c r="AG10" s="44"/>
      <c r="AH10" s="42"/>
      <c r="AI10" s="43"/>
      <c r="AJ10" s="44"/>
      <c r="AK10" s="42"/>
      <c r="AL10" s="43"/>
    </row>
    <row r="11" spans="1:38" ht="15" customHeight="1" x14ac:dyDescent="0.25">
      <c r="A11" s="35" t="s">
        <v>34</v>
      </c>
      <c r="B11" s="40">
        <v>21</v>
      </c>
      <c r="C11" s="109">
        <v>45738</v>
      </c>
      <c r="D11" s="108" t="s">
        <v>35</v>
      </c>
      <c r="E11" s="107">
        <v>270</v>
      </c>
      <c r="F11" s="44"/>
      <c r="G11" s="42"/>
      <c r="H11" s="43"/>
      <c r="I11" s="109">
        <v>45799</v>
      </c>
      <c r="J11" s="108" t="s">
        <v>234</v>
      </c>
      <c r="K11" s="107">
        <v>63</v>
      </c>
      <c r="L11" s="44"/>
      <c r="M11" s="42"/>
      <c r="N11" s="43"/>
      <c r="O11" s="44"/>
      <c r="P11" s="42"/>
      <c r="Q11" s="43"/>
      <c r="R11" s="44"/>
      <c r="S11" s="42"/>
      <c r="T11" s="43"/>
      <c r="U11" s="44"/>
      <c r="V11" s="42"/>
      <c r="W11" s="43"/>
      <c r="X11" s="44"/>
      <c r="Y11" s="42"/>
      <c r="Z11" s="43"/>
      <c r="AA11" s="44"/>
      <c r="AB11" s="42"/>
      <c r="AC11" s="43"/>
      <c r="AD11" s="44"/>
      <c r="AE11" s="42"/>
      <c r="AF11" s="43"/>
      <c r="AG11" s="44"/>
      <c r="AH11" s="42"/>
      <c r="AI11" s="43"/>
      <c r="AJ11" s="44"/>
      <c r="AK11" s="42"/>
      <c r="AL11" s="43"/>
    </row>
    <row r="12" spans="1:38" ht="15" customHeight="1" x14ac:dyDescent="0.25">
      <c r="A12" s="35" t="s">
        <v>36</v>
      </c>
      <c r="B12" s="40">
        <v>10</v>
      </c>
      <c r="C12" s="109">
        <v>45737</v>
      </c>
      <c r="D12" s="108" t="s">
        <v>35</v>
      </c>
      <c r="E12" s="107">
        <v>18.7</v>
      </c>
      <c r="F12" s="44"/>
      <c r="G12" s="42"/>
      <c r="H12" s="43"/>
      <c r="I12" s="109">
        <v>45798</v>
      </c>
      <c r="J12" s="108" t="s">
        <v>237</v>
      </c>
      <c r="K12" s="107">
        <v>30</v>
      </c>
      <c r="L12" s="44"/>
      <c r="M12" s="42"/>
      <c r="N12" s="43"/>
      <c r="O12" s="44"/>
      <c r="P12" s="42"/>
      <c r="Q12" s="43"/>
      <c r="R12" s="44"/>
      <c r="S12" s="42"/>
      <c r="T12" s="43"/>
      <c r="U12" s="44"/>
      <c r="V12" s="42"/>
      <c r="W12" s="43"/>
      <c r="X12" s="44"/>
      <c r="Y12" s="42"/>
      <c r="Z12" s="43"/>
      <c r="AA12" s="44"/>
      <c r="AB12" s="42"/>
      <c r="AC12" s="43"/>
      <c r="AD12" s="44"/>
      <c r="AE12" s="42"/>
      <c r="AF12" s="43"/>
      <c r="AG12" s="44"/>
      <c r="AH12" s="42"/>
      <c r="AI12" s="43"/>
      <c r="AJ12" s="44"/>
      <c r="AK12" s="42"/>
      <c r="AL12" s="43"/>
    </row>
    <row r="13" spans="1:38" ht="15" customHeight="1" x14ac:dyDescent="0.25">
      <c r="A13" s="23" t="s">
        <v>19</v>
      </c>
      <c r="B13" s="40">
        <f>SUM(B3:B12)</f>
        <v>2121</v>
      </c>
      <c r="C13" s="109">
        <v>45737</v>
      </c>
      <c r="D13" s="108" t="s">
        <v>90</v>
      </c>
      <c r="E13" s="107">
        <v>6.89</v>
      </c>
      <c r="F13" s="44"/>
      <c r="G13" s="42"/>
      <c r="H13" s="43"/>
      <c r="I13" s="109">
        <v>45797</v>
      </c>
      <c r="J13" s="108" t="s">
        <v>238</v>
      </c>
      <c r="K13" s="107">
        <v>81</v>
      </c>
      <c r="L13" s="44"/>
      <c r="M13" s="42"/>
      <c r="N13" s="43"/>
      <c r="O13" s="44"/>
      <c r="P13" s="42"/>
      <c r="Q13" s="43"/>
      <c r="R13" s="44"/>
      <c r="S13" s="42"/>
      <c r="T13" s="43"/>
      <c r="U13" s="44"/>
      <c r="V13" s="42"/>
      <c r="W13" s="43"/>
      <c r="X13" s="44"/>
      <c r="Y13" s="42"/>
      <c r="Z13" s="43"/>
      <c r="AA13" s="44"/>
      <c r="AB13" s="42"/>
      <c r="AC13" s="43"/>
      <c r="AD13" s="44"/>
      <c r="AE13" s="42"/>
      <c r="AF13" s="43"/>
      <c r="AG13" s="44"/>
      <c r="AH13" s="42"/>
      <c r="AI13" s="43"/>
      <c r="AJ13" s="44"/>
      <c r="AK13" s="42"/>
      <c r="AL13" s="43"/>
    </row>
    <row r="14" spans="1:38" ht="15" customHeight="1" x14ac:dyDescent="0.25">
      <c r="B14" s="12"/>
      <c r="C14" s="109">
        <v>45735</v>
      </c>
      <c r="D14" s="108" t="s">
        <v>163</v>
      </c>
      <c r="E14" s="107">
        <v>50</v>
      </c>
      <c r="F14" s="44"/>
      <c r="G14" s="42"/>
      <c r="H14" s="43"/>
      <c r="I14" s="109">
        <v>45797</v>
      </c>
      <c r="J14" s="108" t="s">
        <v>239</v>
      </c>
      <c r="K14" s="107">
        <v>212.56</v>
      </c>
      <c r="L14" s="44"/>
      <c r="M14" s="42"/>
      <c r="N14" s="43"/>
      <c r="O14" s="44"/>
      <c r="P14" s="42"/>
      <c r="Q14" s="43"/>
      <c r="R14" s="44"/>
      <c r="S14" s="42"/>
      <c r="T14" s="43"/>
      <c r="U14" s="44"/>
      <c r="V14" s="42"/>
      <c r="W14" s="43"/>
      <c r="X14" s="44"/>
      <c r="Y14" s="42"/>
      <c r="Z14" s="43"/>
      <c r="AA14" s="44"/>
      <c r="AB14" s="42"/>
      <c r="AC14" s="43"/>
      <c r="AD14" s="44"/>
      <c r="AE14" s="42"/>
      <c r="AF14" s="43"/>
      <c r="AG14" s="44"/>
      <c r="AH14" s="42"/>
      <c r="AI14" s="43"/>
      <c r="AJ14" s="44"/>
      <c r="AK14" s="42"/>
      <c r="AL14" s="43"/>
    </row>
    <row r="15" spans="1:38" ht="15" customHeight="1" x14ac:dyDescent="0.25">
      <c r="A15" s="35" t="s">
        <v>37</v>
      </c>
      <c r="B15" s="40">
        <v>2252.23</v>
      </c>
      <c r="C15" s="109">
        <v>45735</v>
      </c>
      <c r="D15" s="108"/>
      <c r="E15" s="107">
        <v>27.18</v>
      </c>
      <c r="F15" s="44"/>
      <c r="G15" s="42"/>
      <c r="H15" s="43"/>
      <c r="I15" s="109">
        <v>45798</v>
      </c>
      <c r="J15" s="108" t="s">
        <v>97</v>
      </c>
      <c r="K15" s="107">
        <v>90.28</v>
      </c>
      <c r="L15" s="44"/>
      <c r="M15" s="42"/>
      <c r="N15" s="43"/>
      <c r="O15" s="44"/>
      <c r="P15" s="42"/>
      <c r="Q15" s="43"/>
      <c r="R15" s="44"/>
      <c r="S15" s="42"/>
      <c r="T15" s="43"/>
      <c r="U15" s="44"/>
      <c r="V15" s="42"/>
      <c r="W15" s="43"/>
      <c r="X15" s="44"/>
      <c r="Y15" s="42"/>
      <c r="Z15" s="43"/>
      <c r="AA15" s="44"/>
      <c r="AB15" s="42"/>
      <c r="AC15" s="43"/>
      <c r="AD15" s="44"/>
      <c r="AE15" s="42"/>
      <c r="AF15" s="43"/>
      <c r="AG15" s="44"/>
      <c r="AH15" s="42"/>
      <c r="AI15" s="43"/>
      <c r="AJ15" s="44"/>
      <c r="AK15" s="42"/>
      <c r="AL15" s="43"/>
    </row>
    <row r="16" spans="1:38" ht="15" customHeight="1" x14ac:dyDescent="0.25">
      <c r="A16" s="35" t="s">
        <v>39</v>
      </c>
      <c r="B16" s="40">
        <v>0</v>
      </c>
      <c r="C16" s="109">
        <v>45737</v>
      </c>
      <c r="D16" s="108" t="s">
        <v>90</v>
      </c>
      <c r="E16" s="107">
        <v>23.38</v>
      </c>
      <c r="F16" s="44"/>
      <c r="G16" s="42"/>
      <c r="H16" s="43"/>
      <c r="I16" s="44"/>
      <c r="J16" s="42"/>
      <c r="K16" s="43"/>
      <c r="L16" s="44"/>
      <c r="M16" s="42"/>
      <c r="N16" s="43"/>
      <c r="O16" s="44"/>
      <c r="P16" s="42"/>
      <c r="Q16" s="43"/>
      <c r="R16" s="44"/>
      <c r="S16" s="42"/>
      <c r="T16" s="43"/>
      <c r="U16" s="44"/>
      <c r="V16" s="42"/>
      <c r="W16" s="43"/>
      <c r="X16" s="44"/>
      <c r="Y16" s="42"/>
      <c r="Z16" s="43"/>
      <c r="AA16" s="44"/>
      <c r="AB16" s="42"/>
      <c r="AC16" s="43"/>
      <c r="AD16" s="44"/>
      <c r="AE16" s="42"/>
      <c r="AF16" s="43"/>
      <c r="AG16" s="44"/>
      <c r="AH16" s="42"/>
      <c r="AI16" s="43"/>
      <c r="AJ16" s="44"/>
      <c r="AK16" s="42"/>
      <c r="AL16" s="43"/>
    </row>
    <row r="17" spans="1:38" ht="15" customHeight="1" x14ac:dyDescent="0.25">
      <c r="A17" s="35" t="s">
        <v>40</v>
      </c>
      <c r="B17" s="45">
        <f>B13-B15</f>
        <v>-131.23000000000002</v>
      </c>
      <c r="C17" s="109">
        <v>45736</v>
      </c>
      <c r="D17" s="108" t="s">
        <v>167</v>
      </c>
      <c r="E17" s="107">
        <f>290/2</f>
        <v>145</v>
      </c>
      <c r="F17" s="44"/>
      <c r="G17" s="42"/>
      <c r="H17" s="43"/>
      <c r="I17" s="44"/>
      <c r="J17" s="42"/>
      <c r="K17" s="43"/>
      <c r="L17" s="44"/>
      <c r="M17" s="42"/>
      <c r="N17" s="43"/>
      <c r="O17" s="44"/>
      <c r="P17" s="42"/>
      <c r="Q17" s="43"/>
      <c r="R17" s="44"/>
      <c r="S17" s="42"/>
      <c r="T17" s="43"/>
      <c r="U17" s="44"/>
      <c r="V17" s="42"/>
      <c r="W17" s="43"/>
      <c r="X17" s="44"/>
      <c r="Y17" s="42"/>
      <c r="Z17" s="43"/>
      <c r="AA17" s="44"/>
      <c r="AB17" s="42"/>
      <c r="AC17" s="43"/>
      <c r="AD17" s="44"/>
      <c r="AE17" s="42"/>
      <c r="AF17" s="43"/>
      <c r="AG17" s="44"/>
      <c r="AH17" s="42"/>
      <c r="AI17" s="43"/>
      <c r="AJ17" s="44"/>
      <c r="AK17" s="42"/>
      <c r="AL17" s="43"/>
    </row>
    <row r="18" spans="1:38" ht="15" customHeight="1" x14ac:dyDescent="0.25">
      <c r="B18" s="95"/>
      <c r="C18" s="109">
        <v>45737</v>
      </c>
      <c r="D18" s="108" t="s">
        <v>78</v>
      </c>
      <c r="E18" s="107">
        <v>211.2</v>
      </c>
      <c r="F18" s="41"/>
      <c r="G18" s="42"/>
      <c r="H18" s="43"/>
      <c r="I18" s="41"/>
      <c r="J18" s="42"/>
      <c r="K18" s="43"/>
      <c r="L18" s="41"/>
      <c r="M18" s="42"/>
      <c r="N18" s="43"/>
      <c r="O18" s="41"/>
      <c r="P18" s="42"/>
      <c r="Q18" s="43"/>
      <c r="R18" s="41"/>
      <c r="S18" s="42"/>
      <c r="T18" s="43"/>
      <c r="U18" s="41"/>
      <c r="V18" s="42"/>
      <c r="W18" s="43"/>
      <c r="X18" s="41"/>
      <c r="Y18" s="42"/>
      <c r="Z18" s="43"/>
      <c r="AA18" s="41"/>
      <c r="AB18" s="42"/>
      <c r="AC18" s="43"/>
      <c r="AD18" s="41"/>
      <c r="AE18" s="42"/>
      <c r="AF18" s="43"/>
      <c r="AG18" s="41"/>
      <c r="AH18" s="42"/>
      <c r="AI18" s="43"/>
      <c r="AJ18" s="41"/>
      <c r="AK18" s="42"/>
      <c r="AL18" s="43"/>
    </row>
    <row r="19" spans="1:38" ht="15" customHeight="1" x14ac:dyDescent="0.25">
      <c r="C19" s="109">
        <v>45741</v>
      </c>
      <c r="D19" s="108" t="s">
        <v>91</v>
      </c>
      <c r="E19" s="107">
        <v>80</v>
      </c>
      <c r="F19" s="41"/>
      <c r="G19" s="42"/>
      <c r="H19" s="43"/>
      <c r="I19" s="41"/>
      <c r="J19" s="42"/>
      <c r="K19" s="43"/>
      <c r="L19" s="41"/>
      <c r="M19" s="42"/>
      <c r="N19" s="43"/>
      <c r="O19" s="41"/>
      <c r="P19" s="42"/>
      <c r="Q19" s="43"/>
      <c r="R19" s="41"/>
      <c r="S19" s="42"/>
      <c r="T19" s="43"/>
      <c r="U19" s="41"/>
      <c r="V19" s="42"/>
      <c r="W19" s="43"/>
      <c r="X19" s="41"/>
      <c r="Y19" s="42"/>
      <c r="Z19" s="43"/>
      <c r="AA19" s="41"/>
      <c r="AB19" s="42"/>
      <c r="AC19" s="43"/>
      <c r="AD19" s="41"/>
      <c r="AE19" s="42"/>
      <c r="AF19" s="43"/>
      <c r="AG19" s="41"/>
      <c r="AH19" s="42"/>
      <c r="AI19" s="43"/>
      <c r="AJ19" s="41"/>
      <c r="AK19" s="42"/>
      <c r="AL19" s="43"/>
    </row>
    <row r="20" spans="1:38" ht="15" customHeight="1" x14ac:dyDescent="0.25">
      <c r="C20" s="109">
        <v>45743</v>
      </c>
      <c r="D20" s="108" t="s">
        <v>168</v>
      </c>
      <c r="E20" s="107">
        <v>50</v>
      </c>
      <c r="F20" s="41"/>
      <c r="G20" s="42"/>
      <c r="H20" s="43"/>
      <c r="I20" s="41"/>
      <c r="J20" s="42"/>
      <c r="K20" s="43"/>
      <c r="L20" s="41"/>
      <c r="M20" s="42"/>
      <c r="N20" s="43"/>
      <c r="O20" s="41"/>
      <c r="P20" s="42"/>
      <c r="Q20" s="43"/>
      <c r="R20" s="41"/>
      <c r="S20" s="42"/>
      <c r="T20" s="43"/>
      <c r="U20" s="41"/>
      <c r="V20" s="42"/>
      <c r="W20" s="43"/>
      <c r="X20" s="41"/>
      <c r="Y20" s="42"/>
      <c r="Z20" s="43"/>
      <c r="AA20" s="41"/>
      <c r="AB20" s="42"/>
      <c r="AC20" s="43"/>
      <c r="AD20" s="41"/>
      <c r="AE20" s="42"/>
      <c r="AF20" s="43"/>
      <c r="AG20" s="41"/>
      <c r="AH20" s="42"/>
      <c r="AI20" s="43"/>
      <c r="AJ20" s="41"/>
      <c r="AK20" s="42"/>
      <c r="AL20" s="43"/>
    </row>
    <row r="21" spans="1:38" ht="15" customHeight="1" x14ac:dyDescent="0.25">
      <c r="B21" s="32"/>
      <c r="C21" s="109">
        <v>45742</v>
      </c>
      <c r="D21" s="108" t="s">
        <v>169</v>
      </c>
      <c r="E21" s="107">
        <v>129.36000000000001</v>
      </c>
      <c r="F21" s="41"/>
      <c r="G21" s="42"/>
      <c r="H21" s="43"/>
      <c r="I21" s="41"/>
      <c r="J21" s="42"/>
      <c r="K21" s="43"/>
      <c r="L21" s="41"/>
      <c r="M21" s="42"/>
      <c r="N21" s="43"/>
      <c r="O21" s="41"/>
      <c r="P21" s="42"/>
      <c r="Q21" s="43"/>
      <c r="R21" s="41"/>
      <c r="S21" s="42"/>
      <c r="T21" s="43"/>
      <c r="U21" s="41"/>
      <c r="V21" s="42"/>
      <c r="W21" s="43"/>
      <c r="X21" s="41"/>
      <c r="Y21" s="42"/>
      <c r="Z21" s="43"/>
      <c r="AA21" s="41"/>
      <c r="AB21" s="42"/>
      <c r="AC21" s="43"/>
      <c r="AD21" s="41"/>
      <c r="AE21" s="42"/>
      <c r="AF21" s="43"/>
      <c r="AG21" s="41"/>
      <c r="AH21" s="42"/>
      <c r="AI21" s="43"/>
      <c r="AJ21" s="41"/>
      <c r="AK21" s="42"/>
      <c r="AL21" s="43"/>
    </row>
    <row r="22" spans="1:38" ht="15" customHeight="1" x14ac:dyDescent="0.25">
      <c r="C22" s="109">
        <v>45743</v>
      </c>
      <c r="D22" s="108" t="s">
        <v>90</v>
      </c>
      <c r="E22" s="107">
        <v>113.74</v>
      </c>
      <c r="F22" s="41"/>
      <c r="G22" s="42"/>
      <c r="H22" s="43"/>
      <c r="I22" s="41"/>
      <c r="J22" s="42"/>
      <c r="K22" s="43"/>
      <c r="L22" s="41"/>
      <c r="M22" s="42"/>
      <c r="N22" s="43"/>
      <c r="O22" s="41"/>
      <c r="P22" s="42"/>
      <c r="Q22" s="43"/>
      <c r="R22" s="41"/>
      <c r="S22" s="42"/>
      <c r="T22" s="43"/>
      <c r="U22" s="41"/>
      <c r="V22" s="42"/>
      <c r="W22" s="43"/>
      <c r="X22" s="41"/>
      <c r="Y22" s="42"/>
      <c r="Z22" s="43"/>
      <c r="AA22" s="41"/>
      <c r="AB22" s="42"/>
      <c r="AC22" s="43"/>
      <c r="AD22" s="41"/>
      <c r="AE22" s="42"/>
      <c r="AF22" s="43"/>
      <c r="AG22" s="41"/>
      <c r="AH22" s="42"/>
      <c r="AI22" s="43"/>
      <c r="AJ22" s="41"/>
      <c r="AK22" s="42"/>
      <c r="AL22" s="43"/>
    </row>
    <row r="23" spans="1:38" ht="15" customHeight="1" x14ac:dyDescent="0.25">
      <c r="C23" s="109">
        <v>45743</v>
      </c>
      <c r="D23" s="108" t="s">
        <v>33</v>
      </c>
      <c r="E23" s="107">
        <v>29.99</v>
      </c>
      <c r="F23" s="41"/>
      <c r="G23" s="42"/>
      <c r="H23" s="43"/>
      <c r="I23" s="41"/>
      <c r="J23" s="42"/>
      <c r="K23" s="43"/>
      <c r="L23" s="41"/>
      <c r="M23" s="42"/>
      <c r="N23" s="43"/>
      <c r="O23" s="41"/>
      <c r="P23" s="42"/>
      <c r="Q23" s="43"/>
      <c r="R23" s="41"/>
      <c r="S23" s="42"/>
      <c r="T23" s="43"/>
      <c r="U23" s="41"/>
      <c r="V23" s="42"/>
      <c r="W23" s="43"/>
      <c r="X23" s="41"/>
      <c r="Y23" s="42"/>
      <c r="Z23" s="43"/>
      <c r="AA23" s="41"/>
      <c r="AB23" s="42"/>
      <c r="AC23" s="43"/>
      <c r="AD23" s="41"/>
      <c r="AE23" s="42"/>
      <c r="AF23" s="43"/>
      <c r="AG23" s="41"/>
      <c r="AH23" s="42"/>
      <c r="AI23" s="43"/>
      <c r="AJ23" s="41"/>
      <c r="AK23" s="42"/>
      <c r="AL23" s="43"/>
    </row>
    <row r="24" spans="1:38" ht="15" customHeight="1" x14ac:dyDescent="0.25">
      <c r="C24" s="109">
        <v>45748</v>
      </c>
      <c r="D24" s="108" t="s">
        <v>170</v>
      </c>
      <c r="E24" s="107">
        <v>370</v>
      </c>
      <c r="F24" s="41"/>
      <c r="G24" s="42"/>
      <c r="H24" s="43"/>
      <c r="I24" s="41"/>
      <c r="J24" s="42"/>
      <c r="K24" s="43"/>
      <c r="L24" s="41"/>
      <c r="M24" s="42"/>
      <c r="N24" s="43"/>
      <c r="O24" s="41"/>
      <c r="P24" s="42"/>
      <c r="Q24" s="43"/>
      <c r="R24" s="41"/>
      <c r="S24" s="42"/>
      <c r="T24" s="43"/>
      <c r="U24" s="41"/>
      <c r="V24" s="42"/>
      <c r="W24" s="43"/>
      <c r="X24" s="41"/>
      <c r="Y24" s="42"/>
      <c r="Z24" s="43"/>
      <c r="AA24" s="41"/>
      <c r="AB24" s="42"/>
      <c r="AC24" s="43"/>
      <c r="AD24" s="41"/>
      <c r="AE24" s="42"/>
      <c r="AF24" s="43"/>
      <c r="AG24" s="41"/>
      <c r="AH24" s="42"/>
      <c r="AI24" s="43"/>
      <c r="AJ24" s="41"/>
      <c r="AK24" s="42"/>
      <c r="AL24" s="43"/>
    </row>
    <row r="25" spans="1:38" ht="15" customHeight="1" x14ac:dyDescent="0.25">
      <c r="C25" s="109">
        <v>45746</v>
      </c>
      <c r="D25" s="108" t="s">
        <v>171</v>
      </c>
      <c r="E25" s="107">
        <f>234.3/3</f>
        <v>78.100000000000009</v>
      </c>
      <c r="F25" s="41"/>
      <c r="G25" s="42"/>
      <c r="H25" s="43"/>
      <c r="I25" s="41"/>
      <c r="J25" s="42"/>
      <c r="K25" s="43"/>
      <c r="L25" s="41"/>
      <c r="M25" s="42"/>
      <c r="N25" s="43"/>
      <c r="O25" s="41"/>
      <c r="P25" s="42"/>
      <c r="Q25" s="43"/>
      <c r="R25" s="41"/>
      <c r="S25" s="42"/>
      <c r="T25" s="43"/>
      <c r="U25" s="41"/>
      <c r="V25" s="42"/>
      <c r="W25" s="43"/>
      <c r="X25" s="41"/>
      <c r="Y25" s="42"/>
      <c r="Z25" s="43"/>
      <c r="AA25" s="41"/>
      <c r="AB25" s="42"/>
      <c r="AC25" s="43"/>
      <c r="AD25" s="41"/>
      <c r="AE25" s="42"/>
      <c r="AF25" s="43"/>
      <c r="AG25" s="41"/>
      <c r="AH25" s="42"/>
      <c r="AI25" s="43"/>
      <c r="AJ25" s="41"/>
      <c r="AK25" s="42"/>
      <c r="AL25" s="43"/>
    </row>
    <row r="26" spans="1:38" ht="15" customHeight="1" x14ac:dyDescent="0.25">
      <c r="C26" s="109">
        <v>45743</v>
      </c>
      <c r="D26" s="108" t="s">
        <v>33</v>
      </c>
      <c r="E26" s="107">
        <v>33.36</v>
      </c>
      <c r="F26" s="41"/>
      <c r="G26" s="42"/>
      <c r="H26" s="43"/>
      <c r="I26" s="41"/>
      <c r="J26" s="42"/>
      <c r="K26" s="43"/>
      <c r="L26" s="41"/>
      <c r="M26" s="42"/>
      <c r="N26" s="43"/>
      <c r="O26" s="41"/>
      <c r="P26" s="42"/>
      <c r="Q26" s="43"/>
      <c r="R26" s="41"/>
      <c r="S26" s="42"/>
      <c r="T26" s="43"/>
      <c r="U26" s="41"/>
      <c r="V26" s="42"/>
      <c r="W26" s="43"/>
      <c r="X26" s="41"/>
      <c r="Y26" s="42"/>
      <c r="Z26" s="43"/>
      <c r="AA26" s="41"/>
      <c r="AB26" s="42"/>
      <c r="AC26" s="43"/>
      <c r="AD26" s="41"/>
      <c r="AE26" s="42"/>
      <c r="AF26" s="43"/>
      <c r="AG26" s="41"/>
      <c r="AH26" s="42"/>
      <c r="AI26" s="43"/>
      <c r="AJ26" s="41"/>
      <c r="AK26" s="42"/>
      <c r="AL26" s="43"/>
    </row>
    <row r="27" spans="1:38" ht="15" customHeight="1" x14ac:dyDescent="0.25">
      <c r="C27" s="109">
        <v>45745</v>
      </c>
      <c r="D27" s="108" t="s">
        <v>33</v>
      </c>
      <c r="E27" s="107">
        <v>141.4</v>
      </c>
      <c r="F27" s="41"/>
      <c r="G27" s="42"/>
      <c r="H27" s="43"/>
      <c r="I27" s="41"/>
      <c r="J27" s="42"/>
      <c r="K27" s="43"/>
      <c r="L27" s="41"/>
      <c r="M27" s="42"/>
      <c r="N27" s="43"/>
      <c r="O27" s="41"/>
      <c r="P27" s="42"/>
      <c r="Q27" s="43"/>
      <c r="R27" s="41"/>
      <c r="S27" s="42"/>
      <c r="T27" s="43"/>
      <c r="U27" s="41"/>
      <c r="V27" s="42"/>
      <c r="W27" s="43"/>
      <c r="X27" s="41"/>
      <c r="Y27" s="42"/>
      <c r="Z27" s="43"/>
      <c r="AA27" s="41"/>
      <c r="AB27" s="42"/>
      <c r="AC27" s="43"/>
      <c r="AD27" s="41"/>
      <c r="AE27" s="42"/>
      <c r="AF27" s="43"/>
      <c r="AG27" s="41"/>
      <c r="AH27" s="42"/>
      <c r="AI27" s="43"/>
      <c r="AJ27" s="41"/>
      <c r="AK27" s="42"/>
      <c r="AL27" s="43"/>
    </row>
    <row r="28" spans="1:38" ht="15" customHeight="1" thickBot="1" x14ac:dyDescent="0.3">
      <c r="C28" s="138">
        <v>45748</v>
      </c>
      <c r="D28" s="139" t="s">
        <v>174</v>
      </c>
      <c r="E28" s="140">
        <v>24</v>
      </c>
      <c r="F28" s="46"/>
      <c r="G28" s="47"/>
      <c r="H28" s="48"/>
      <c r="I28" s="46"/>
      <c r="J28" s="47"/>
      <c r="K28" s="48"/>
      <c r="L28" s="46"/>
      <c r="M28" s="47"/>
      <c r="N28" s="48"/>
      <c r="O28" s="46"/>
      <c r="P28" s="47"/>
      <c r="Q28" s="48"/>
      <c r="R28" s="46"/>
      <c r="S28" s="47"/>
      <c r="T28" s="48"/>
      <c r="U28" s="46"/>
      <c r="V28" s="47"/>
      <c r="W28" s="48"/>
      <c r="X28" s="46"/>
      <c r="Y28" s="47"/>
      <c r="Z28" s="48"/>
      <c r="AA28" s="46"/>
      <c r="AB28" s="47"/>
      <c r="AC28" s="48"/>
      <c r="AD28" s="46"/>
      <c r="AE28" s="47"/>
      <c r="AF28" s="48"/>
      <c r="AG28" s="46"/>
      <c r="AH28" s="47"/>
      <c r="AI28" s="48"/>
      <c r="AJ28" s="46"/>
      <c r="AK28" s="47"/>
      <c r="AL28" s="48"/>
    </row>
    <row r="29" spans="1:38" ht="15" customHeight="1" thickBot="1" x14ac:dyDescent="0.3">
      <c r="C29" s="49"/>
      <c r="D29" s="50"/>
      <c r="E29" s="51">
        <f>SUM(E3:E28)</f>
        <v>3261.7166666666667</v>
      </c>
      <c r="F29" s="49"/>
      <c r="G29" s="50"/>
      <c r="H29" s="51">
        <f>SUM(H3:H28)</f>
        <v>1662.0466666666666</v>
      </c>
      <c r="I29" s="49"/>
      <c r="J29" s="50"/>
      <c r="K29" s="51">
        <f>SUM(K3:K28)</f>
        <v>2194.3316666666669</v>
      </c>
      <c r="L29" s="49"/>
      <c r="M29" s="50"/>
      <c r="N29" s="51">
        <f>SUM(N3:N28)</f>
        <v>2115.2450000000003</v>
      </c>
      <c r="O29" s="49"/>
      <c r="P29" s="50"/>
      <c r="Q29" s="51">
        <f>SUM(Q3:Q28)</f>
        <v>1726.7800000000002</v>
      </c>
      <c r="R29" s="49"/>
      <c r="S29" s="50"/>
      <c r="T29" s="51">
        <f>SUM(T3:T28)</f>
        <v>147.78</v>
      </c>
      <c r="U29" s="49"/>
      <c r="V29" s="50"/>
      <c r="W29" s="51">
        <f>SUM(W3:W28)</f>
        <v>65.400000000000006</v>
      </c>
      <c r="X29" s="49"/>
      <c r="Y29" s="50"/>
      <c r="Z29" s="51">
        <f>SUM(Z3:Z28)</f>
        <v>65.400000000000006</v>
      </c>
      <c r="AA29" s="49"/>
      <c r="AB29" s="50"/>
      <c r="AC29" s="51">
        <f>SUM(AC3:AC28)</f>
        <v>65.400000000000006</v>
      </c>
      <c r="AD29" s="49"/>
      <c r="AE29" s="50"/>
      <c r="AF29" s="51">
        <f>SUM(AF3:AF28)</f>
        <v>46.5</v>
      </c>
      <c r="AG29" s="49"/>
      <c r="AH29" s="50"/>
      <c r="AI29" s="51">
        <f>SUM(AI3:AI28)</f>
        <v>46.5</v>
      </c>
      <c r="AJ29" s="49"/>
      <c r="AK29" s="50"/>
      <c r="AL29" s="51">
        <f>SUM(AL3:AL28)</f>
        <v>46.5</v>
      </c>
    </row>
  </sheetData>
  <mergeCells count="12">
    <mergeCell ref="C1:E1"/>
    <mergeCell ref="U1:W1"/>
    <mergeCell ref="R1:T1"/>
    <mergeCell ref="F1:H1"/>
    <mergeCell ref="O1:Q1"/>
    <mergeCell ref="I1:K1"/>
    <mergeCell ref="L1:N1"/>
    <mergeCell ref="X1:Z1"/>
    <mergeCell ref="AA1:AC1"/>
    <mergeCell ref="AD1:AF1"/>
    <mergeCell ref="AG1:AI1"/>
    <mergeCell ref="AJ1:AL1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L76"/>
  <sheetViews>
    <sheetView zoomScale="115" zoomScaleNormal="115" workbookViewId="0">
      <pane xSplit="2" ySplit="2" topLeftCell="K3" activePane="bottomRight" state="frozen"/>
      <selection pane="topRight" activeCell="BA1" sqref="BA1"/>
      <selection pane="bottomLeft" activeCell="A5" sqref="A5"/>
      <selection pane="bottomRight" activeCell="S13" sqref="S13"/>
    </sheetView>
  </sheetViews>
  <sheetFormatPr defaultColWidth="8.42578125" defaultRowHeight="13.5" x14ac:dyDescent="0.25"/>
  <cols>
    <col min="1" max="1" width="17.5703125" style="50" customWidth="1"/>
    <col min="2" max="2" width="10.85546875" style="50" customWidth="1"/>
    <col min="4" max="4" width="21.85546875" customWidth="1"/>
    <col min="5" max="5" width="8.7109375" bestFit="1" customWidth="1"/>
    <col min="7" max="7" width="21.85546875" customWidth="1"/>
    <col min="8" max="8" width="8.7109375" bestFit="1" customWidth="1"/>
    <col min="10" max="10" width="21.85546875" customWidth="1"/>
    <col min="11" max="11" width="8.7109375" bestFit="1" customWidth="1"/>
    <col min="13" max="13" width="21.85546875" customWidth="1"/>
    <col min="16" max="16" width="21.85546875" customWidth="1"/>
    <col min="19" max="19" width="21.85546875" customWidth="1"/>
    <col min="22" max="22" width="21.85546875" customWidth="1"/>
    <col min="25" max="25" width="21.85546875" customWidth="1"/>
  </cols>
  <sheetData>
    <row r="1" spans="1:38" ht="15" customHeight="1" thickBot="1" x14ac:dyDescent="0.25">
      <c r="A1" s="33" t="s">
        <v>23</v>
      </c>
      <c r="B1" s="33" t="s">
        <v>0</v>
      </c>
      <c r="C1" s="155">
        <v>45748</v>
      </c>
      <c r="D1" s="155"/>
      <c r="E1" s="155"/>
      <c r="F1" s="155">
        <f>C1+31</f>
        <v>45779</v>
      </c>
      <c r="G1" s="155"/>
      <c r="H1" s="155"/>
      <c r="I1" s="155">
        <f>F1+31</f>
        <v>45810</v>
      </c>
      <c r="J1" s="155"/>
      <c r="K1" s="155"/>
      <c r="L1" s="155">
        <f>I1+31</f>
        <v>45841</v>
      </c>
      <c r="M1" s="155"/>
      <c r="N1" s="155"/>
      <c r="O1" s="155">
        <f>L1+31</f>
        <v>45872</v>
      </c>
      <c r="P1" s="155"/>
      <c r="Q1" s="155"/>
      <c r="R1" s="155">
        <f>O1+31</f>
        <v>45903</v>
      </c>
      <c r="S1" s="155"/>
      <c r="T1" s="155"/>
      <c r="U1" s="155">
        <f>R1+31</f>
        <v>45934</v>
      </c>
      <c r="V1" s="155"/>
      <c r="W1" s="155"/>
      <c r="X1" s="155">
        <f>U1+31</f>
        <v>45965</v>
      </c>
      <c r="Y1" s="155"/>
      <c r="Z1" s="155"/>
      <c r="AA1" s="155">
        <f>X1+31</f>
        <v>45996</v>
      </c>
      <c r="AB1" s="155"/>
      <c r="AC1" s="155"/>
      <c r="AD1" s="155">
        <f>AA1+31</f>
        <v>46027</v>
      </c>
      <c r="AE1" s="155"/>
      <c r="AF1" s="155"/>
      <c r="AG1" s="155">
        <f>AD1+31</f>
        <v>46058</v>
      </c>
      <c r="AH1" s="155"/>
      <c r="AI1" s="155"/>
      <c r="AJ1" s="155">
        <f>AG1+31</f>
        <v>46089</v>
      </c>
      <c r="AK1" s="155"/>
      <c r="AL1" s="155"/>
    </row>
    <row r="2" spans="1:38" ht="15" customHeight="1" x14ac:dyDescent="0.2">
      <c r="A2" s="35" t="s">
        <v>12</v>
      </c>
      <c r="B2" s="55"/>
      <c r="C2" s="56" t="s">
        <v>24</v>
      </c>
      <c r="D2" s="57" t="s">
        <v>41</v>
      </c>
      <c r="E2" s="58" t="s">
        <v>0</v>
      </c>
      <c r="F2" s="56" t="s">
        <v>24</v>
      </c>
      <c r="G2" s="57" t="s">
        <v>41</v>
      </c>
      <c r="H2" s="58" t="s">
        <v>0</v>
      </c>
      <c r="I2" s="56" t="s">
        <v>24</v>
      </c>
      <c r="J2" s="57" t="s">
        <v>41</v>
      </c>
      <c r="K2" s="58" t="s">
        <v>0</v>
      </c>
      <c r="L2" s="56" t="s">
        <v>24</v>
      </c>
      <c r="M2" s="57" t="s">
        <v>41</v>
      </c>
      <c r="N2" s="58" t="s">
        <v>0</v>
      </c>
      <c r="O2" s="56" t="s">
        <v>24</v>
      </c>
      <c r="P2" s="57" t="s">
        <v>41</v>
      </c>
      <c r="Q2" s="58" t="s">
        <v>0</v>
      </c>
      <c r="R2" s="56" t="s">
        <v>24</v>
      </c>
      <c r="S2" s="57" t="s">
        <v>41</v>
      </c>
      <c r="T2" s="58" t="s">
        <v>0</v>
      </c>
      <c r="U2" s="56" t="s">
        <v>24</v>
      </c>
      <c r="V2" s="57" t="s">
        <v>41</v>
      </c>
      <c r="W2" s="58" t="s">
        <v>0</v>
      </c>
      <c r="X2" s="56" t="s">
        <v>24</v>
      </c>
      <c r="Y2" s="57" t="s">
        <v>41</v>
      </c>
      <c r="Z2" s="58" t="s">
        <v>0</v>
      </c>
      <c r="AA2" s="56" t="s">
        <v>24</v>
      </c>
      <c r="AB2" s="57" t="s">
        <v>41</v>
      </c>
      <c r="AC2" s="58" t="s">
        <v>0</v>
      </c>
      <c r="AD2" s="56" t="s">
        <v>24</v>
      </c>
      <c r="AE2" s="57" t="s">
        <v>41</v>
      </c>
      <c r="AF2" s="58" t="s">
        <v>0</v>
      </c>
      <c r="AG2" s="56" t="s">
        <v>24</v>
      </c>
      <c r="AH2" s="57" t="s">
        <v>41</v>
      </c>
      <c r="AI2" s="58" t="s">
        <v>0</v>
      </c>
      <c r="AJ2" s="56" t="s">
        <v>24</v>
      </c>
      <c r="AK2" s="57" t="s">
        <v>41</v>
      </c>
      <c r="AL2" s="58" t="s">
        <v>0</v>
      </c>
    </row>
    <row r="3" spans="1:38" ht="15" customHeight="1" x14ac:dyDescent="0.2">
      <c r="A3" s="59" t="s">
        <v>26</v>
      </c>
      <c r="B3" s="55">
        <v>0</v>
      </c>
      <c r="C3" s="110">
        <f>C1</f>
        <v>45748</v>
      </c>
      <c r="D3" s="111" t="s">
        <v>42</v>
      </c>
      <c r="E3" s="114">
        <v>6</v>
      </c>
      <c r="F3" s="123">
        <f>F1</f>
        <v>45779</v>
      </c>
      <c r="G3" s="111" t="s">
        <v>42</v>
      </c>
      <c r="H3" s="114">
        <v>6</v>
      </c>
      <c r="I3" s="110">
        <f>I1</f>
        <v>45810</v>
      </c>
      <c r="J3" s="111" t="s">
        <v>42</v>
      </c>
      <c r="K3" s="114">
        <v>6</v>
      </c>
      <c r="L3" s="123">
        <f>L1</f>
        <v>45841</v>
      </c>
      <c r="M3" s="111" t="s">
        <v>42</v>
      </c>
      <c r="N3" s="114">
        <v>6</v>
      </c>
      <c r="O3" s="88">
        <v>45595</v>
      </c>
      <c r="P3" s="145" t="s">
        <v>105</v>
      </c>
      <c r="Q3" s="75">
        <v>7.99</v>
      </c>
      <c r="R3" s="88">
        <f>R1</f>
        <v>45903</v>
      </c>
      <c r="S3" s="74" t="s">
        <v>42</v>
      </c>
      <c r="T3" s="75">
        <v>6</v>
      </c>
      <c r="U3" s="88">
        <f>U1</f>
        <v>45934</v>
      </c>
      <c r="V3" s="74" t="s">
        <v>42</v>
      </c>
      <c r="W3" s="75">
        <v>6</v>
      </c>
      <c r="X3" s="88">
        <f>X1</f>
        <v>45965</v>
      </c>
      <c r="Y3" s="74" t="s">
        <v>42</v>
      </c>
      <c r="Z3" s="75">
        <v>6</v>
      </c>
      <c r="AA3" s="88">
        <f>AA1</f>
        <v>45996</v>
      </c>
      <c r="AB3" s="74" t="s">
        <v>42</v>
      </c>
      <c r="AC3" s="75">
        <v>6</v>
      </c>
      <c r="AD3" s="88">
        <f>AD1</f>
        <v>46027</v>
      </c>
      <c r="AE3" s="74" t="s">
        <v>42</v>
      </c>
      <c r="AF3" s="75">
        <v>6</v>
      </c>
      <c r="AG3" s="88">
        <f>AG1</f>
        <v>46058</v>
      </c>
      <c r="AH3" s="74" t="s">
        <v>42</v>
      </c>
      <c r="AI3" s="75">
        <v>6</v>
      </c>
      <c r="AJ3" s="88">
        <f>AJ1</f>
        <v>46089</v>
      </c>
      <c r="AK3" s="74" t="s">
        <v>42</v>
      </c>
      <c r="AL3" s="75">
        <v>6</v>
      </c>
    </row>
    <row r="4" spans="1:38" ht="15" customHeight="1" x14ac:dyDescent="0.2">
      <c r="A4" s="59" t="s">
        <v>27</v>
      </c>
      <c r="B4" s="55">
        <v>0</v>
      </c>
      <c r="C4" s="110">
        <v>45595</v>
      </c>
      <c r="D4" s="97" t="s">
        <v>105</v>
      </c>
      <c r="E4" s="114">
        <v>7.99</v>
      </c>
      <c r="F4" s="123">
        <v>45595</v>
      </c>
      <c r="G4" s="97" t="s">
        <v>105</v>
      </c>
      <c r="H4" s="114">
        <v>7.99</v>
      </c>
      <c r="I4" s="110">
        <v>45595</v>
      </c>
      <c r="J4" s="97" t="s">
        <v>105</v>
      </c>
      <c r="K4" s="114">
        <v>7.99</v>
      </c>
      <c r="L4" s="123">
        <v>45595</v>
      </c>
      <c r="M4" s="97" t="s">
        <v>105</v>
      </c>
      <c r="N4" s="114">
        <v>7.99</v>
      </c>
      <c r="O4" s="122">
        <v>45793</v>
      </c>
      <c r="P4" s="79" t="s">
        <v>228</v>
      </c>
      <c r="Q4" s="75">
        <f>600/6</f>
        <v>100</v>
      </c>
      <c r="R4" s="88">
        <v>45595</v>
      </c>
      <c r="S4" s="76" t="s">
        <v>105</v>
      </c>
      <c r="T4" s="75">
        <v>7.99</v>
      </c>
      <c r="U4" s="88">
        <v>45595</v>
      </c>
      <c r="V4" s="76" t="s">
        <v>105</v>
      </c>
      <c r="W4" s="75">
        <v>7.99</v>
      </c>
      <c r="X4" s="88">
        <v>45595</v>
      </c>
      <c r="Y4" s="76" t="s">
        <v>105</v>
      </c>
      <c r="Z4" s="75">
        <v>7.99</v>
      </c>
      <c r="AA4" s="88">
        <v>45595</v>
      </c>
      <c r="AB4" s="76" t="s">
        <v>105</v>
      </c>
      <c r="AC4" s="75">
        <v>7.99</v>
      </c>
      <c r="AD4" s="88">
        <v>45595</v>
      </c>
      <c r="AE4" s="76" t="s">
        <v>105</v>
      </c>
      <c r="AF4" s="75">
        <v>7.99</v>
      </c>
      <c r="AG4" s="88">
        <v>45595</v>
      </c>
      <c r="AH4" s="76" t="s">
        <v>105</v>
      </c>
      <c r="AI4" s="75">
        <v>7.99</v>
      </c>
      <c r="AJ4" s="88">
        <v>45595</v>
      </c>
      <c r="AK4" s="76" t="s">
        <v>105</v>
      </c>
      <c r="AL4" s="75">
        <v>7.99</v>
      </c>
    </row>
    <row r="5" spans="1:38" ht="15" customHeight="1" x14ac:dyDescent="0.2">
      <c r="A5" s="35" t="s">
        <v>43</v>
      </c>
      <c r="B5" s="55"/>
      <c r="C5" s="110">
        <v>45699</v>
      </c>
      <c r="D5" s="97" t="s">
        <v>134</v>
      </c>
      <c r="E5" s="113">
        <v>126.33</v>
      </c>
      <c r="F5" s="123">
        <v>45788</v>
      </c>
      <c r="G5" s="112" t="s">
        <v>136</v>
      </c>
      <c r="H5" s="115">
        <f>5335.31/4</f>
        <v>1333.8275000000001</v>
      </c>
      <c r="I5" s="110">
        <v>45788</v>
      </c>
      <c r="J5" s="112" t="s">
        <v>135</v>
      </c>
      <c r="K5" s="115">
        <f>5335.31/4</f>
        <v>1333.8275000000001</v>
      </c>
      <c r="L5" s="123">
        <v>45793</v>
      </c>
      <c r="M5" s="96" t="s">
        <v>229</v>
      </c>
      <c r="N5" s="113">
        <f>600/6</f>
        <v>100</v>
      </c>
      <c r="O5" s="88">
        <v>45840</v>
      </c>
      <c r="P5" s="76" t="s">
        <v>273</v>
      </c>
      <c r="Q5" s="80">
        <v>38</v>
      </c>
      <c r="R5" s="122">
        <v>45793</v>
      </c>
      <c r="S5" s="79" t="s">
        <v>227</v>
      </c>
      <c r="T5" s="80">
        <f>600/6</f>
        <v>100</v>
      </c>
      <c r="U5" s="122">
        <v>45793</v>
      </c>
      <c r="V5" s="79" t="s">
        <v>226</v>
      </c>
      <c r="W5" s="80">
        <f>600/6</f>
        <v>100</v>
      </c>
      <c r="X5" s="122">
        <v>45793</v>
      </c>
      <c r="Y5" s="79" t="s">
        <v>225</v>
      </c>
      <c r="Z5" s="80">
        <f>600/6</f>
        <v>100</v>
      </c>
      <c r="AA5" s="122"/>
      <c r="AB5" s="79"/>
      <c r="AC5" s="80"/>
      <c r="AD5" s="122"/>
      <c r="AE5" s="79"/>
      <c r="AF5" s="80"/>
      <c r="AG5" s="122"/>
      <c r="AH5" s="79"/>
      <c r="AI5" s="80"/>
      <c r="AJ5" s="122"/>
      <c r="AK5" s="79"/>
      <c r="AL5" s="80"/>
    </row>
    <row r="6" spans="1:38" ht="15" customHeight="1" x14ac:dyDescent="0.2">
      <c r="A6" s="35" t="s">
        <v>28</v>
      </c>
      <c r="B6" s="55">
        <v>0</v>
      </c>
      <c r="C6" s="110">
        <v>45788</v>
      </c>
      <c r="D6" s="112" t="s">
        <v>137</v>
      </c>
      <c r="E6" s="115">
        <f>5335.31/4</f>
        <v>1333.8275000000001</v>
      </c>
      <c r="F6" s="123">
        <v>45707</v>
      </c>
      <c r="G6" s="96" t="s">
        <v>140</v>
      </c>
      <c r="H6" s="113">
        <f>212.28/4</f>
        <v>53.07</v>
      </c>
      <c r="I6" s="110">
        <v>45707</v>
      </c>
      <c r="J6" s="96" t="s">
        <v>139</v>
      </c>
      <c r="K6" s="113">
        <f>212.28/4</f>
        <v>53.07</v>
      </c>
      <c r="L6" s="123">
        <v>45820</v>
      </c>
      <c r="M6" s="97" t="s">
        <v>254</v>
      </c>
      <c r="N6" s="114">
        <v>50</v>
      </c>
      <c r="O6" s="88">
        <v>45840</v>
      </c>
      <c r="P6" s="146" t="s">
        <v>95</v>
      </c>
      <c r="Q6" s="151">
        <v>23.9</v>
      </c>
      <c r="R6" s="88">
        <v>45881</v>
      </c>
      <c r="S6" s="76" t="s">
        <v>335</v>
      </c>
      <c r="T6" s="75">
        <v>20</v>
      </c>
      <c r="U6" s="88">
        <v>45882</v>
      </c>
      <c r="V6" s="77" t="s">
        <v>337</v>
      </c>
      <c r="W6" s="78">
        <f>240/3</f>
        <v>80</v>
      </c>
      <c r="X6" s="88">
        <v>45882</v>
      </c>
      <c r="Y6" s="77" t="s">
        <v>338</v>
      </c>
      <c r="Z6" s="78">
        <f>240/3</f>
        <v>80</v>
      </c>
      <c r="AA6" s="88"/>
      <c r="AB6" s="76"/>
      <c r="AC6" s="75"/>
      <c r="AD6" s="88"/>
      <c r="AE6" s="76"/>
      <c r="AF6" s="75"/>
      <c r="AG6" s="88"/>
      <c r="AH6" s="76"/>
      <c r="AI6" s="75"/>
      <c r="AJ6" s="88"/>
      <c r="AK6" s="76"/>
      <c r="AL6" s="75"/>
    </row>
    <row r="7" spans="1:38" ht="15" customHeight="1" x14ac:dyDescent="0.25">
      <c r="A7" s="35" t="s">
        <v>29</v>
      </c>
      <c r="B7" s="55">
        <v>0</v>
      </c>
      <c r="C7" s="110">
        <v>45707</v>
      </c>
      <c r="D7" s="96" t="s">
        <v>141</v>
      </c>
      <c r="E7" s="113">
        <f>212.28/4</f>
        <v>53.07</v>
      </c>
      <c r="F7" s="104">
        <v>45759</v>
      </c>
      <c r="G7" s="91" t="s">
        <v>31</v>
      </c>
      <c r="H7" s="105">
        <v>144.97999999999999</v>
      </c>
      <c r="I7" s="123">
        <v>45761</v>
      </c>
      <c r="J7" s="112" t="s">
        <v>188</v>
      </c>
      <c r="K7" s="113">
        <f>179.98/2</f>
        <v>89.99</v>
      </c>
      <c r="L7" s="123">
        <v>45820</v>
      </c>
      <c r="M7" s="112" t="s">
        <v>255</v>
      </c>
      <c r="N7" s="115">
        <v>38</v>
      </c>
      <c r="O7" s="88">
        <v>45849</v>
      </c>
      <c r="P7" s="147" t="s">
        <v>103</v>
      </c>
      <c r="Q7" s="78">
        <f>29.5+40</f>
        <v>69.5</v>
      </c>
      <c r="R7" s="88">
        <v>45882</v>
      </c>
      <c r="S7" s="77" t="s">
        <v>336</v>
      </c>
      <c r="T7" s="78">
        <f>240/3</f>
        <v>80</v>
      </c>
      <c r="U7" s="88"/>
      <c r="V7" s="77"/>
      <c r="W7" s="78"/>
      <c r="X7" s="88"/>
      <c r="Y7" s="77"/>
      <c r="Z7" s="78"/>
      <c r="AA7" s="88"/>
      <c r="AB7" s="77"/>
      <c r="AC7" s="78"/>
      <c r="AD7" s="88"/>
      <c r="AE7" s="77"/>
      <c r="AF7" s="78"/>
      <c r="AG7" s="88"/>
      <c r="AH7" s="77"/>
      <c r="AI7" s="78"/>
      <c r="AJ7" s="88"/>
      <c r="AK7" s="77"/>
      <c r="AL7" s="78"/>
    </row>
    <row r="8" spans="1:38" ht="15" customHeight="1" x14ac:dyDescent="0.2">
      <c r="A8" s="35" t="s">
        <v>30</v>
      </c>
      <c r="B8" s="55">
        <v>0</v>
      </c>
      <c r="C8" s="110">
        <v>45700</v>
      </c>
      <c r="D8" s="96" t="s">
        <v>138</v>
      </c>
      <c r="E8" s="115">
        <v>1287.1600000000001</v>
      </c>
      <c r="F8" s="123">
        <v>45758</v>
      </c>
      <c r="G8" s="96" t="s">
        <v>176</v>
      </c>
      <c r="H8" s="115">
        <v>94.88</v>
      </c>
      <c r="I8" s="110">
        <v>45788</v>
      </c>
      <c r="J8" s="96" t="s">
        <v>220</v>
      </c>
      <c r="K8" s="115">
        <v>56.11</v>
      </c>
      <c r="L8" s="123">
        <v>45820</v>
      </c>
      <c r="M8" s="96" t="s">
        <v>97</v>
      </c>
      <c r="N8" s="115">
        <v>56.4</v>
      </c>
      <c r="O8" s="88">
        <v>45850</v>
      </c>
      <c r="P8" s="79" t="s">
        <v>61</v>
      </c>
      <c r="Q8" s="78">
        <v>14</v>
      </c>
      <c r="R8" s="88">
        <v>45881</v>
      </c>
      <c r="S8" s="79" t="s">
        <v>339</v>
      </c>
      <c r="T8" s="78">
        <v>57</v>
      </c>
      <c r="U8" s="88"/>
      <c r="V8" s="79"/>
      <c r="W8" s="78"/>
      <c r="X8" s="88"/>
      <c r="Y8" s="79"/>
      <c r="Z8" s="78"/>
      <c r="AA8" s="88"/>
      <c r="AB8" s="79"/>
      <c r="AC8" s="78"/>
      <c r="AD8" s="88"/>
      <c r="AE8" s="79"/>
      <c r="AF8" s="78"/>
      <c r="AG8" s="88"/>
      <c r="AH8" s="79"/>
      <c r="AI8" s="78"/>
      <c r="AJ8" s="88"/>
      <c r="AK8" s="79"/>
      <c r="AL8" s="78"/>
    </row>
    <row r="9" spans="1:38" ht="15" customHeight="1" x14ac:dyDescent="0.2">
      <c r="A9" s="35" t="s">
        <v>32</v>
      </c>
      <c r="B9" s="55">
        <v>0</v>
      </c>
      <c r="C9" s="110">
        <v>45727</v>
      </c>
      <c r="D9" s="96" t="s">
        <v>71</v>
      </c>
      <c r="E9" s="115">
        <v>18.579999999999998</v>
      </c>
      <c r="F9" s="123">
        <v>45759</v>
      </c>
      <c r="G9" s="96" t="s">
        <v>31</v>
      </c>
      <c r="H9" s="115">
        <v>156.30000000000001</v>
      </c>
      <c r="I9" s="123">
        <v>45793</v>
      </c>
      <c r="J9" s="96" t="s">
        <v>224</v>
      </c>
      <c r="K9" s="113">
        <f>600/6</f>
        <v>100</v>
      </c>
      <c r="L9" s="123">
        <v>45822</v>
      </c>
      <c r="M9" s="96" t="s">
        <v>256</v>
      </c>
      <c r="N9" s="115">
        <v>24</v>
      </c>
      <c r="O9" s="88">
        <v>45850</v>
      </c>
      <c r="P9" s="79" t="s">
        <v>285</v>
      </c>
      <c r="Q9" s="78">
        <f>39+17</f>
        <v>56</v>
      </c>
      <c r="R9" s="88">
        <v>45882</v>
      </c>
      <c r="S9" s="79" t="s">
        <v>340</v>
      </c>
      <c r="T9" s="78">
        <v>66.66</v>
      </c>
      <c r="U9" s="88"/>
      <c r="V9" s="79"/>
      <c r="W9" s="78"/>
      <c r="X9" s="88"/>
      <c r="Y9" s="79"/>
      <c r="Z9" s="78"/>
      <c r="AA9" s="88"/>
      <c r="AB9" s="79"/>
      <c r="AC9" s="78"/>
      <c r="AD9" s="88"/>
      <c r="AE9" s="79"/>
      <c r="AF9" s="78"/>
      <c r="AG9" s="88"/>
      <c r="AH9" s="79"/>
      <c r="AI9" s="78"/>
      <c r="AJ9" s="88"/>
      <c r="AK9" s="79"/>
      <c r="AL9" s="78"/>
    </row>
    <row r="10" spans="1:38" ht="15" customHeight="1" x14ac:dyDescent="0.2">
      <c r="A10" s="35" t="s">
        <v>45</v>
      </c>
      <c r="B10" s="55">
        <v>0</v>
      </c>
      <c r="C10" s="110">
        <v>45727</v>
      </c>
      <c r="D10" s="96" t="s">
        <v>47</v>
      </c>
      <c r="E10" s="115">
        <v>147.19999999999999</v>
      </c>
      <c r="F10" s="123">
        <v>45760</v>
      </c>
      <c r="G10" s="96" t="s">
        <v>69</v>
      </c>
      <c r="H10" s="115">
        <v>16.760000000000002</v>
      </c>
      <c r="I10" s="123">
        <v>45793</v>
      </c>
      <c r="J10" s="97" t="s">
        <v>91</v>
      </c>
      <c r="K10" s="114">
        <v>67.3</v>
      </c>
      <c r="L10" s="123">
        <v>45827</v>
      </c>
      <c r="M10" s="96" t="s">
        <v>261</v>
      </c>
      <c r="N10" s="115">
        <v>116.58</v>
      </c>
      <c r="O10" s="88">
        <v>45850</v>
      </c>
      <c r="P10" s="148" t="s">
        <v>286</v>
      </c>
      <c r="Q10" s="78">
        <v>31.9</v>
      </c>
      <c r="R10" s="88">
        <v>45881</v>
      </c>
      <c r="S10" s="79" t="s">
        <v>344</v>
      </c>
      <c r="T10" s="78">
        <v>30</v>
      </c>
      <c r="U10" s="88"/>
      <c r="V10" s="79"/>
      <c r="W10" s="78"/>
      <c r="X10" s="88"/>
      <c r="Y10" s="79"/>
      <c r="Z10" s="78"/>
      <c r="AA10" s="88"/>
      <c r="AB10" s="79"/>
      <c r="AC10" s="78"/>
      <c r="AD10" s="88"/>
      <c r="AE10" s="79"/>
      <c r="AF10" s="78"/>
      <c r="AG10" s="88"/>
      <c r="AH10" s="79"/>
      <c r="AI10" s="78"/>
      <c r="AJ10" s="88"/>
      <c r="AK10" s="79"/>
      <c r="AL10" s="78"/>
    </row>
    <row r="11" spans="1:38" ht="15" customHeight="1" x14ac:dyDescent="0.2">
      <c r="A11" s="35" t="s">
        <v>34</v>
      </c>
      <c r="B11" s="55">
        <v>0</v>
      </c>
      <c r="C11" s="110">
        <v>45728</v>
      </c>
      <c r="D11" s="98" t="s">
        <v>91</v>
      </c>
      <c r="E11" s="115">
        <v>74</v>
      </c>
      <c r="F11" s="123">
        <v>45760</v>
      </c>
      <c r="G11" s="98" t="s">
        <v>51</v>
      </c>
      <c r="H11" s="115">
        <v>86.44</v>
      </c>
      <c r="I11" s="123">
        <v>45793</v>
      </c>
      <c r="J11" s="96" t="s">
        <v>33</v>
      </c>
      <c r="K11" s="115">
        <v>8.99</v>
      </c>
      <c r="L11" s="123">
        <v>45829</v>
      </c>
      <c r="M11" s="98" t="s">
        <v>33</v>
      </c>
      <c r="N11" s="115">
        <v>6.5</v>
      </c>
      <c r="O11" s="88">
        <v>45851</v>
      </c>
      <c r="P11" s="77" t="s">
        <v>287</v>
      </c>
      <c r="Q11" s="80">
        <v>8</v>
      </c>
      <c r="R11" s="88">
        <v>45881</v>
      </c>
      <c r="S11" s="81" t="s">
        <v>344</v>
      </c>
      <c r="T11" s="78">
        <v>70</v>
      </c>
      <c r="U11" s="88"/>
      <c r="V11" s="81"/>
      <c r="W11" s="78"/>
      <c r="X11" s="88"/>
      <c r="Y11" s="81"/>
      <c r="Z11" s="78"/>
      <c r="AA11" s="88"/>
      <c r="AB11" s="81"/>
      <c r="AC11" s="78"/>
      <c r="AD11" s="88"/>
      <c r="AE11" s="81"/>
      <c r="AF11" s="78"/>
      <c r="AG11" s="88"/>
      <c r="AH11" s="81"/>
      <c r="AI11" s="78"/>
      <c r="AJ11" s="88"/>
      <c r="AK11" s="81"/>
      <c r="AL11" s="78"/>
    </row>
    <row r="12" spans="1:38" ht="15" customHeight="1" x14ac:dyDescent="0.2">
      <c r="A12" s="35" t="s">
        <v>36</v>
      </c>
      <c r="B12" s="55">
        <v>0</v>
      </c>
      <c r="C12" s="110">
        <v>45727</v>
      </c>
      <c r="D12" s="112" t="s">
        <v>33</v>
      </c>
      <c r="E12" s="113">
        <v>105</v>
      </c>
      <c r="F12" s="123">
        <v>45760</v>
      </c>
      <c r="G12" s="112" t="s">
        <v>33</v>
      </c>
      <c r="H12" s="113">
        <v>37.979999999999997</v>
      </c>
      <c r="I12" s="123">
        <v>45794</v>
      </c>
      <c r="J12" s="96" t="s">
        <v>47</v>
      </c>
      <c r="K12" s="113">
        <v>75.599999999999994</v>
      </c>
      <c r="L12" s="123">
        <v>45826</v>
      </c>
      <c r="M12" s="112" t="s">
        <v>263</v>
      </c>
      <c r="N12" s="113">
        <v>50</v>
      </c>
      <c r="O12" s="88">
        <v>45851</v>
      </c>
      <c r="P12" s="77" t="s">
        <v>288</v>
      </c>
      <c r="Q12" s="80">
        <v>47.88</v>
      </c>
      <c r="R12" s="88">
        <v>45881</v>
      </c>
      <c r="S12" s="77" t="s">
        <v>33</v>
      </c>
      <c r="T12" s="80">
        <v>50.09</v>
      </c>
      <c r="U12" s="88"/>
      <c r="V12" s="77"/>
      <c r="W12" s="80"/>
      <c r="X12" s="88"/>
      <c r="Y12" s="77"/>
      <c r="Z12" s="80"/>
      <c r="AA12" s="88"/>
      <c r="AB12" s="77"/>
      <c r="AC12" s="80"/>
      <c r="AD12" s="88"/>
      <c r="AE12" s="77"/>
      <c r="AF12" s="80"/>
      <c r="AG12" s="88"/>
      <c r="AH12" s="77"/>
      <c r="AI12" s="80"/>
      <c r="AJ12" s="88"/>
      <c r="AK12" s="77"/>
      <c r="AL12" s="80"/>
    </row>
    <row r="13" spans="1:38" ht="15" customHeight="1" x14ac:dyDescent="0.2">
      <c r="A13" s="23" t="s">
        <v>19</v>
      </c>
      <c r="B13" s="65">
        <f>SUM(B2:B12)</f>
        <v>0</v>
      </c>
      <c r="C13" s="110">
        <v>45727</v>
      </c>
      <c r="D13" s="112" t="s">
        <v>35</v>
      </c>
      <c r="E13" s="113">
        <v>41.74</v>
      </c>
      <c r="F13" s="123">
        <v>45761</v>
      </c>
      <c r="G13" s="112" t="s">
        <v>1</v>
      </c>
      <c r="H13" s="113">
        <v>285.98</v>
      </c>
      <c r="I13" s="123">
        <v>45794</v>
      </c>
      <c r="J13" s="96" t="s">
        <v>223</v>
      </c>
      <c r="K13" s="113">
        <v>298.92</v>
      </c>
      <c r="L13" s="123">
        <v>45825</v>
      </c>
      <c r="M13" s="112" t="s">
        <v>31</v>
      </c>
      <c r="N13" s="113">
        <v>132.34</v>
      </c>
      <c r="O13" s="88">
        <v>45852</v>
      </c>
      <c r="P13" s="77" t="s">
        <v>106</v>
      </c>
      <c r="Q13" s="80">
        <v>40</v>
      </c>
      <c r="R13" s="88"/>
      <c r="S13" s="77"/>
      <c r="T13" s="80"/>
      <c r="U13" s="88"/>
      <c r="V13" s="77"/>
      <c r="W13" s="80"/>
      <c r="X13" s="88"/>
      <c r="Y13" s="77"/>
      <c r="Z13" s="80"/>
      <c r="AA13" s="88"/>
      <c r="AB13" s="77"/>
      <c r="AC13" s="80"/>
      <c r="AD13" s="88"/>
      <c r="AE13" s="77"/>
      <c r="AF13" s="80"/>
      <c r="AG13" s="88"/>
      <c r="AH13" s="77"/>
      <c r="AI13" s="80"/>
      <c r="AJ13" s="88"/>
      <c r="AK13" s="77"/>
      <c r="AL13" s="80"/>
    </row>
    <row r="14" spans="1:38" ht="15" customHeight="1" x14ac:dyDescent="0.25">
      <c r="C14" s="110">
        <v>45727</v>
      </c>
      <c r="D14" s="112" t="s">
        <v>1</v>
      </c>
      <c r="E14" s="113">
        <v>60</v>
      </c>
      <c r="F14" s="123">
        <v>45761</v>
      </c>
      <c r="G14" s="112" t="s">
        <v>91</v>
      </c>
      <c r="H14" s="113">
        <v>145</v>
      </c>
      <c r="I14" s="123">
        <v>45794</v>
      </c>
      <c r="J14" s="96" t="s">
        <v>44</v>
      </c>
      <c r="K14" s="113">
        <v>18</v>
      </c>
      <c r="L14" s="123">
        <v>45825</v>
      </c>
      <c r="M14" s="112" t="s">
        <v>31</v>
      </c>
      <c r="N14" s="113">
        <v>149.18</v>
      </c>
      <c r="O14" s="88">
        <v>45852</v>
      </c>
      <c r="P14" s="77" t="s">
        <v>289</v>
      </c>
      <c r="Q14" s="80">
        <v>23</v>
      </c>
      <c r="R14" s="88"/>
      <c r="S14" s="77"/>
      <c r="T14" s="80"/>
      <c r="U14" s="88"/>
      <c r="V14" s="77"/>
      <c r="W14" s="80"/>
      <c r="X14" s="88"/>
      <c r="Y14" s="77"/>
      <c r="Z14" s="80"/>
      <c r="AA14" s="88"/>
      <c r="AB14" s="77"/>
      <c r="AC14" s="80"/>
      <c r="AD14" s="88"/>
      <c r="AE14" s="77"/>
      <c r="AF14" s="80"/>
      <c r="AG14" s="88"/>
      <c r="AH14" s="77"/>
      <c r="AI14" s="80"/>
      <c r="AJ14" s="88"/>
      <c r="AK14" s="77"/>
      <c r="AL14" s="80"/>
    </row>
    <row r="15" spans="1:38" ht="15" customHeight="1" x14ac:dyDescent="0.25">
      <c r="A15" s="35" t="s">
        <v>37</v>
      </c>
      <c r="B15" s="55">
        <v>0</v>
      </c>
      <c r="C15" s="110">
        <v>45733</v>
      </c>
      <c r="D15" s="111" t="s">
        <v>52</v>
      </c>
      <c r="E15" s="114">
        <v>66.33</v>
      </c>
      <c r="F15" s="123">
        <v>45761</v>
      </c>
      <c r="G15" s="111" t="s">
        <v>185</v>
      </c>
      <c r="H15" s="114">
        <v>25</v>
      </c>
      <c r="I15" s="123">
        <v>45793</v>
      </c>
      <c r="J15" s="96" t="s">
        <v>224</v>
      </c>
      <c r="K15" s="113">
        <f>600/6</f>
        <v>100</v>
      </c>
      <c r="L15" s="104">
        <v>45826</v>
      </c>
      <c r="M15" s="108" t="s">
        <v>47</v>
      </c>
      <c r="N15" s="107">
        <v>70</v>
      </c>
      <c r="O15" s="88">
        <v>45852</v>
      </c>
      <c r="P15" s="149" t="s">
        <v>306</v>
      </c>
      <c r="Q15" s="75">
        <v>96.5</v>
      </c>
      <c r="R15" s="88"/>
      <c r="S15" s="74"/>
      <c r="T15" s="75"/>
      <c r="U15" s="88"/>
      <c r="V15" s="74"/>
      <c r="W15" s="75"/>
      <c r="X15" s="88"/>
      <c r="Y15" s="74"/>
      <c r="Z15" s="75"/>
      <c r="AA15" s="88"/>
      <c r="AB15" s="74"/>
      <c r="AC15" s="75"/>
      <c r="AD15" s="88"/>
      <c r="AE15" s="74"/>
      <c r="AF15" s="75"/>
      <c r="AG15" s="88"/>
      <c r="AH15" s="74"/>
      <c r="AI15" s="75"/>
      <c r="AJ15" s="88"/>
      <c r="AK15" s="74"/>
      <c r="AL15" s="75"/>
    </row>
    <row r="16" spans="1:38" ht="15" customHeight="1" x14ac:dyDescent="0.2">
      <c r="A16" s="35" t="s">
        <v>40</v>
      </c>
      <c r="B16" s="67">
        <f>B13-B15</f>
        <v>0</v>
      </c>
      <c r="C16" s="110">
        <v>45732</v>
      </c>
      <c r="D16" s="99" t="s">
        <v>101</v>
      </c>
      <c r="E16" s="114">
        <v>205</v>
      </c>
      <c r="F16" s="123">
        <v>45761</v>
      </c>
      <c r="G16" s="99" t="s">
        <v>186</v>
      </c>
      <c r="H16" s="114">
        <v>29.5</v>
      </c>
      <c r="I16" s="123">
        <v>45795</v>
      </c>
      <c r="J16" s="99" t="s">
        <v>93</v>
      </c>
      <c r="K16" s="114">
        <v>112</v>
      </c>
      <c r="L16" s="123">
        <v>45821</v>
      </c>
      <c r="M16" s="99" t="s">
        <v>270</v>
      </c>
      <c r="N16" s="114">
        <v>15</v>
      </c>
      <c r="O16" s="88">
        <v>45853</v>
      </c>
      <c r="P16" s="150" t="s">
        <v>31</v>
      </c>
      <c r="Q16" s="75">
        <v>148.19</v>
      </c>
      <c r="R16" s="88"/>
      <c r="S16" s="82"/>
      <c r="T16" s="75"/>
      <c r="U16" s="88"/>
      <c r="V16" s="82"/>
      <c r="W16" s="75"/>
      <c r="X16" s="88"/>
      <c r="Y16" s="82"/>
      <c r="Z16" s="75"/>
      <c r="AA16" s="88"/>
      <c r="AB16" s="82"/>
      <c r="AC16" s="75"/>
      <c r="AD16" s="88"/>
      <c r="AE16" s="82"/>
      <c r="AF16" s="75"/>
      <c r="AG16" s="88"/>
      <c r="AH16" s="82"/>
      <c r="AI16" s="75"/>
      <c r="AJ16" s="88"/>
      <c r="AK16" s="82"/>
      <c r="AL16" s="75"/>
    </row>
    <row r="17" spans="3:38" ht="15" customHeight="1" x14ac:dyDescent="0.25">
      <c r="C17" s="110">
        <v>45732</v>
      </c>
      <c r="D17" s="112" t="s">
        <v>162</v>
      </c>
      <c r="E17" s="113">
        <v>4.5</v>
      </c>
      <c r="F17" s="123">
        <v>45761</v>
      </c>
      <c r="G17" s="112" t="s">
        <v>187</v>
      </c>
      <c r="H17" s="113">
        <f>179.98/2</f>
        <v>89.99</v>
      </c>
      <c r="I17" s="123">
        <v>45793</v>
      </c>
      <c r="J17" s="112" t="s">
        <v>122</v>
      </c>
      <c r="K17" s="113">
        <v>44.77</v>
      </c>
      <c r="L17" s="123">
        <v>45820</v>
      </c>
      <c r="M17" s="112" t="s">
        <v>271</v>
      </c>
      <c r="N17" s="113">
        <v>25</v>
      </c>
      <c r="O17" s="88">
        <v>45853</v>
      </c>
      <c r="P17" s="147" t="s">
        <v>31</v>
      </c>
      <c r="Q17" s="80">
        <v>179.06</v>
      </c>
      <c r="R17" s="88"/>
      <c r="S17" s="77"/>
      <c r="T17" s="80"/>
      <c r="U17" s="88"/>
      <c r="V17" s="77"/>
      <c r="W17" s="80"/>
      <c r="X17" s="88"/>
      <c r="Y17" s="77"/>
      <c r="Z17" s="80"/>
      <c r="AA17" s="88"/>
      <c r="AB17" s="77"/>
      <c r="AC17" s="80"/>
      <c r="AD17" s="88"/>
      <c r="AE17" s="77"/>
      <c r="AF17" s="80"/>
      <c r="AG17" s="88"/>
      <c r="AH17" s="77"/>
      <c r="AI17" s="80"/>
      <c r="AJ17" s="88"/>
      <c r="AK17" s="77"/>
      <c r="AL17" s="80"/>
    </row>
    <row r="18" spans="3:38" ht="15" customHeight="1" x14ac:dyDescent="0.25">
      <c r="C18" s="110">
        <v>45736</v>
      </c>
      <c r="D18" s="108" t="s">
        <v>162</v>
      </c>
      <c r="E18" s="107">
        <v>105</v>
      </c>
      <c r="F18" s="123">
        <v>45764</v>
      </c>
      <c r="G18" s="97" t="s">
        <v>31</v>
      </c>
      <c r="H18" s="114">
        <v>100</v>
      </c>
      <c r="I18" s="123">
        <v>45791</v>
      </c>
      <c r="J18" s="97" t="s">
        <v>80</v>
      </c>
      <c r="K18" s="114">
        <v>70.569999999999993</v>
      </c>
      <c r="L18" s="123">
        <v>45841</v>
      </c>
      <c r="M18" s="97" t="s">
        <v>275</v>
      </c>
      <c r="N18" s="114">
        <v>95</v>
      </c>
      <c r="O18" s="88">
        <v>45853</v>
      </c>
      <c r="P18" s="79" t="s">
        <v>190</v>
      </c>
      <c r="Q18" s="75">
        <v>29</v>
      </c>
      <c r="R18" s="88"/>
      <c r="S18" s="76"/>
      <c r="T18" s="75"/>
      <c r="U18" s="88"/>
      <c r="V18" s="76"/>
      <c r="W18" s="75"/>
      <c r="X18" s="88"/>
      <c r="Y18" s="76"/>
      <c r="Z18" s="75"/>
      <c r="AA18" s="88"/>
      <c r="AB18" s="76"/>
      <c r="AC18" s="75"/>
      <c r="AD18" s="88"/>
      <c r="AE18" s="76"/>
      <c r="AF18" s="75"/>
      <c r="AG18" s="88"/>
      <c r="AH18" s="76"/>
      <c r="AI18" s="75"/>
      <c r="AJ18" s="88"/>
      <c r="AK18" s="76"/>
      <c r="AL18" s="75"/>
    </row>
    <row r="19" spans="3:38" ht="15" customHeight="1" x14ac:dyDescent="0.25">
      <c r="C19" s="110">
        <v>45732</v>
      </c>
      <c r="D19" s="97" t="s">
        <v>90</v>
      </c>
      <c r="E19" s="114">
        <v>49.61</v>
      </c>
      <c r="F19" s="123">
        <v>45764</v>
      </c>
      <c r="G19" s="97" t="s">
        <v>65</v>
      </c>
      <c r="H19" s="114">
        <v>50</v>
      </c>
      <c r="I19" s="123">
        <v>45803</v>
      </c>
      <c r="J19" s="97" t="s">
        <v>233</v>
      </c>
      <c r="K19" s="114">
        <v>72</v>
      </c>
      <c r="L19" s="122"/>
      <c r="M19" s="76"/>
      <c r="N19" s="75"/>
      <c r="O19" s="88">
        <v>45854</v>
      </c>
      <c r="P19" s="76" t="s">
        <v>297</v>
      </c>
      <c r="Q19" s="75">
        <v>26</v>
      </c>
      <c r="R19" s="88"/>
      <c r="S19" s="76"/>
      <c r="T19" s="75"/>
      <c r="U19" s="88"/>
      <c r="V19" s="76"/>
      <c r="W19" s="75"/>
      <c r="X19" s="88"/>
      <c r="Y19" s="76"/>
      <c r="Z19" s="75"/>
      <c r="AA19" s="88"/>
      <c r="AB19" s="76"/>
      <c r="AC19" s="75"/>
      <c r="AD19" s="88"/>
      <c r="AE19" s="76"/>
      <c r="AF19" s="75"/>
      <c r="AG19" s="88"/>
      <c r="AH19" s="76"/>
      <c r="AI19" s="75"/>
      <c r="AJ19" s="88"/>
      <c r="AK19" s="76"/>
      <c r="AL19" s="75"/>
    </row>
    <row r="20" spans="3:38" ht="15" customHeight="1" x14ac:dyDescent="0.25">
      <c r="C20" s="110">
        <v>45733</v>
      </c>
      <c r="D20" s="97" t="s">
        <v>1</v>
      </c>
      <c r="E20" s="114">
        <v>11.98</v>
      </c>
      <c r="F20" s="123">
        <v>45763</v>
      </c>
      <c r="G20" s="97" t="s">
        <v>33</v>
      </c>
      <c r="H20" s="114">
        <v>131.66999999999999</v>
      </c>
      <c r="I20" s="123">
        <v>45799</v>
      </c>
      <c r="J20" s="97" t="s">
        <v>236</v>
      </c>
      <c r="K20" s="114">
        <v>198</v>
      </c>
      <c r="L20" s="122"/>
      <c r="M20" s="76"/>
      <c r="N20" s="75"/>
      <c r="O20" s="88">
        <v>45854</v>
      </c>
      <c r="P20" s="79" t="s">
        <v>305</v>
      </c>
      <c r="Q20" s="151">
        <v>164</v>
      </c>
      <c r="R20" s="88"/>
      <c r="S20" s="76"/>
      <c r="T20" s="75"/>
      <c r="U20" s="88"/>
      <c r="V20" s="76"/>
      <c r="W20" s="75"/>
      <c r="X20" s="88"/>
      <c r="Y20" s="76"/>
      <c r="Z20" s="75"/>
      <c r="AA20" s="88"/>
      <c r="AB20" s="76"/>
      <c r="AC20" s="75"/>
      <c r="AD20" s="88"/>
      <c r="AE20" s="76"/>
      <c r="AF20" s="75"/>
      <c r="AG20" s="88"/>
      <c r="AH20" s="76"/>
      <c r="AI20" s="75"/>
      <c r="AJ20" s="88"/>
      <c r="AK20" s="76"/>
      <c r="AL20" s="75"/>
    </row>
    <row r="21" spans="3:38" ht="15" customHeight="1" x14ac:dyDescent="0.25">
      <c r="C21" s="110">
        <v>45731</v>
      </c>
      <c r="D21" s="97" t="s">
        <v>104</v>
      </c>
      <c r="E21" s="114">
        <v>39.9</v>
      </c>
      <c r="F21" s="123">
        <v>45763</v>
      </c>
      <c r="G21" s="97" t="s">
        <v>143</v>
      </c>
      <c r="H21" s="114">
        <v>110</v>
      </c>
      <c r="I21" s="122"/>
      <c r="J21" s="76"/>
      <c r="K21" s="75"/>
      <c r="L21" s="122"/>
      <c r="M21" s="76"/>
      <c r="N21" s="75"/>
      <c r="O21" s="88">
        <v>45855</v>
      </c>
      <c r="P21" s="76" t="s">
        <v>303</v>
      </c>
      <c r="Q21" s="75">
        <v>20</v>
      </c>
      <c r="R21" s="88"/>
      <c r="S21" s="76"/>
      <c r="T21" s="75"/>
      <c r="U21" s="88"/>
      <c r="V21" s="76"/>
      <c r="W21" s="75"/>
      <c r="X21" s="88"/>
      <c r="Y21" s="76"/>
      <c r="Z21" s="75"/>
      <c r="AA21" s="88"/>
      <c r="AB21" s="76"/>
      <c r="AC21" s="75"/>
      <c r="AD21" s="88"/>
      <c r="AE21" s="76"/>
      <c r="AF21" s="75"/>
      <c r="AG21" s="88"/>
      <c r="AH21" s="76"/>
      <c r="AI21" s="75"/>
      <c r="AJ21" s="88"/>
      <c r="AK21" s="76"/>
      <c r="AL21" s="75"/>
    </row>
    <row r="22" spans="3:38" ht="15" customHeight="1" x14ac:dyDescent="0.25">
      <c r="C22" s="110">
        <v>45730</v>
      </c>
      <c r="D22" s="97" t="s">
        <v>106</v>
      </c>
      <c r="E22" s="114">
        <v>50</v>
      </c>
      <c r="F22" s="122"/>
      <c r="G22" s="76"/>
      <c r="H22" s="75"/>
      <c r="I22" s="122"/>
      <c r="J22" s="76"/>
      <c r="K22" s="75"/>
      <c r="L22" s="88"/>
      <c r="M22" s="76"/>
      <c r="N22" s="75"/>
      <c r="O22" s="88">
        <v>45856</v>
      </c>
      <c r="P22" s="76" t="s">
        <v>235</v>
      </c>
      <c r="Q22" s="75">
        <v>9.7899999999999991</v>
      </c>
      <c r="R22" s="88"/>
      <c r="S22" s="76"/>
      <c r="T22" s="75"/>
      <c r="U22" s="88"/>
      <c r="V22" s="76"/>
      <c r="W22" s="75"/>
      <c r="X22" s="88"/>
      <c r="Y22" s="76"/>
      <c r="Z22" s="75"/>
      <c r="AA22" s="88"/>
      <c r="AB22" s="76"/>
      <c r="AC22" s="75"/>
      <c r="AD22" s="88"/>
      <c r="AE22" s="76"/>
      <c r="AF22" s="75"/>
      <c r="AG22" s="88"/>
      <c r="AH22" s="76"/>
      <c r="AI22" s="75"/>
      <c r="AJ22" s="88"/>
      <c r="AK22" s="76"/>
      <c r="AL22" s="75"/>
    </row>
    <row r="23" spans="3:38" ht="15" customHeight="1" x14ac:dyDescent="0.25">
      <c r="C23" s="110">
        <v>45729</v>
      </c>
      <c r="D23" s="96" t="s">
        <v>35</v>
      </c>
      <c r="E23" s="115">
        <v>54.14</v>
      </c>
      <c r="F23" s="122"/>
      <c r="G23" s="79"/>
      <c r="H23" s="78"/>
      <c r="I23" s="122"/>
      <c r="J23" s="79"/>
      <c r="K23" s="78"/>
      <c r="L23" s="88"/>
      <c r="M23" s="79"/>
      <c r="N23" s="78"/>
      <c r="O23" s="88">
        <v>45857</v>
      </c>
      <c r="P23" s="146" t="s">
        <v>302</v>
      </c>
      <c r="Q23" s="80">
        <v>15</v>
      </c>
      <c r="R23" s="88"/>
      <c r="S23" s="79"/>
      <c r="T23" s="78"/>
      <c r="U23" s="88"/>
      <c r="V23" s="79"/>
      <c r="W23" s="78"/>
      <c r="X23" s="88"/>
      <c r="Y23" s="79"/>
      <c r="Z23" s="78"/>
      <c r="AA23" s="88"/>
      <c r="AB23" s="79"/>
      <c r="AC23" s="78"/>
      <c r="AD23" s="88"/>
      <c r="AE23" s="79"/>
      <c r="AF23" s="78"/>
      <c r="AG23" s="88"/>
      <c r="AH23" s="79"/>
      <c r="AI23" s="78"/>
      <c r="AJ23" s="88"/>
      <c r="AK23" s="79"/>
      <c r="AL23" s="78"/>
    </row>
    <row r="24" spans="3:38" ht="15" customHeight="1" x14ac:dyDescent="0.25">
      <c r="C24" s="110">
        <v>45730</v>
      </c>
      <c r="D24" s="96" t="s">
        <v>164</v>
      </c>
      <c r="E24" s="113">
        <v>97.22</v>
      </c>
      <c r="F24" s="122"/>
      <c r="G24" s="79"/>
      <c r="H24" s="80"/>
      <c r="I24" s="122"/>
      <c r="J24" s="79"/>
      <c r="K24" s="80"/>
      <c r="L24" s="88"/>
      <c r="M24" s="79"/>
      <c r="N24" s="80"/>
      <c r="O24" s="88">
        <v>45857</v>
      </c>
      <c r="P24" s="76" t="s">
        <v>62</v>
      </c>
      <c r="Q24" s="80">
        <v>14.46</v>
      </c>
      <c r="R24" s="88"/>
      <c r="S24" s="79"/>
      <c r="T24" s="80"/>
      <c r="U24" s="88"/>
      <c r="V24" s="79"/>
      <c r="W24" s="80"/>
      <c r="X24" s="88"/>
      <c r="Y24" s="79"/>
      <c r="Z24" s="80"/>
      <c r="AA24" s="88"/>
      <c r="AB24" s="79"/>
      <c r="AC24" s="80"/>
      <c r="AD24" s="88"/>
      <c r="AE24" s="79"/>
      <c r="AF24" s="80"/>
      <c r="AG24" s="88"/>
      <c r="AH24" s="79"/>
      <c r="AI24" s="80"/>
      <c r="AJ24" s="88"/>
      <c r="AK24" s="79"/>
      <c r="AL24" s="80"/>
    </row>
    <row r="25" spans="3:38" ht="15" customHeight="1" x14ac:dyDescent="0.25">
      <c r="C25" s="110">
        <v>45729</v>
      </c>
      <c r="D25" s="96" t="s">
        <v>90</v>
      </c>
      <c r="E25" s="113">
        <v>85.84</v>
      </c>
      <c r="F25" s="122"/>
      <c r="G25" s="79"/>
      <c r="H25" s="80"/>
      <c r="I25" s="122"/>
      <c r="J25" s="79"/>
      <c r="K25" s="80"/>
      <c r="L25" s="88"/>
      <c r="M25" s="79"/>
      <c r="N25" s="80"/>
      <c r="O25" s="88">
        <v>45857</v>
      </c>
      <c r="P25" s="76" t="s">
        <v>303</v>
      </c>
      <c r="Q25" s="80">
        <v>15</v>
      </c>
      <c r="R25" s="88"/>
      <c r="S25" s="79"/>
      <c r="T25" s="80"/>
      <c r="U25" s="88"/>
      <c r="V25" s="79"/>
      <c r="W25" s="80"/>
      <c r="X25" s="88"/>
      <c r="Y25" s="79"/>
      <c r="Z25" s="80"/>
      <c r="AA25" s="88"/>
      <c r="AB25" s="79"/>
      <c r="AC25" s="80"/>
      <c r="AD25" s="88"/>
      <c r="AE25" s="79"/>
      <c r="AF25" s="80"/>
      <c r="AG25" s="88"/>
      <c r="AH25" s="79"/>
      <c r="AI25" s="80"/>
      <c r="AJ25" s="88"/>
      <c r="AK25" s="79"/>
      <c r="AL25" s="80"/>
    </row>
    <row r="26" spans="3:38" ht="15" customHeight="1" x14ac:dyDescent="0.25">
      <c r="C26" s="110">
        <v>45732</v>
      </c>
      <c r="D26" s="96" t="s">
        <v>165</v>
      </c>
      <c r="E26" s="113">
        <v>88</v>
      </c>
      <c r="F26" s="122"/>
      <c r="G26" s="79"/>
      <c r="H26" s="80"/>
      <c r="I26" s="122"/>
      <c r="J26" s="79"/>
      <c r="K26" s="80"/>
      <c r="L26" s="88"/>
      <c r="M26" s="79"/>
      <c r="N26" s="80"/>
      <c r="O26" s="88">
        <v>45857</v>
      </c>
      <c r="P26" s="76" t="s">
        <v>285</v>
      </c>
      <c r="Q26" s="80">
        <v>14.5</v>
      </c>
      <c r="R26" s="88"/>
      <c r="S26" s="79"/>
      <c r="T26" s="80"/>
      <c r="U26" s="88"/>
      <c r="V26" s="79"/>
      <c r="W26" s="80"/>
      <c r="X26" s="88"/>
      <c r="Y26" s="79"/>
      <c r="Z26" s="80"/>
      <c r="AA26" s="88"/>
      <c r="AB26" s="79"/>
      <c r="AC26" s="80"/>
      <c r="AD26" s="88"/>
      <c r="AE26" s="79"/>
      <c r="AF26" s="80"/>
      <c r="AG26" s="88"/>
      <c r="AH26" s="79"/>
      <c r="AI26" s="80"/>
      <c r="AJ26" s="88"/>
      <c r="AK26" s="79"/>
      <c r="AL26" s="80"/>
    </row>
    <row r="27" spans="3:38" ht="15" customHeight="1" x14ac:dyDescent="0.25">
      <c r="C27" s="88"/>
      <c r="D27" s="79"/>
      <c r="E27" s="80"/>
      <c r="F27" s="122"/>
      <c r="G27" s="79"/>
      <c r="H27" s="80"/>
      <c r="I27" s="122"/>
      <c r="J27" s="79"/>
      <c r="K27" s="80"/>
      <c r="L27" s="88"/>
      <c r="M27" s="79"/>
      <c r="N27" s="80"/>
      <c r="O27" s="88">
        <f>O25</f>
        <v>45857</v>
      </c>
      <c r="P27" s="146" t="s">
        <v>42</v>
      </c>
      <c r="Q27" s="80">
        <v>6</v>
      </c>
      <c r="R27" s="88"/>
      <c r="S27" s="79"/>
      <c r="T27" s="80"/>
      <c r="U27" s="88"/>
      <c r="V27" s="79"/>
      <c r="W27" s="80"/>
      <c r="X27" s="88"/>
      <c r="Y27" s="79"/>
      <c r="Z27" s="80"/>
      <c r="AA27" s="88"/>
      <c r="AB27" s="79"/>
      <c r="AC27" s="80"/>
      <c r="AD27" s="88"/>
      <c r="AE27" s="79"/>
      <c r="AF27" s="80"/>
      <c r="AG27" s="88"/>
      <c r="AH27" s="79"/>
      <c r="AI27" s="80"/>
      <c r="AJ27" s="88"/>
      <c r="AK27" s="79"/>
      <c r="AL27" s="80"/>
    </row>
    <row r="28" spans="3:38" ht="15" customHeight="1" x14ac:dyDescent="0.25">
      <c r="C28" s="88"/>
      <c r="D28" s="79"/>
      <c r="E28" s="80"/>
      <c r="F28" s="122"/>
      <c r="G28" s="79"/>
      <c r="H28" s="80"/>
      <c r="I28" s="122"/>
      <c r="J28" s="79"/>
      <c r="K28" s="80"/>
      <c r="L28" s="88"/>
      <c r="M28" s="79"/>
      <c r="N28" s="80"/>
      <c r="O28" s="88">
        <v>45878</v>
      </c>
      <c r="P28" s="76" t="s">
        <v>65</v>
      </c>
      <c r="Q28" s="75">
        <v>60.46</v>
      </c>
      <c r="R28" s="88"/>
      <c r="S28" s="79"/>
      <c r="T28" s="80"/>
      <c r="U28" s="88"/>
      <c r="V28" s="79"/>
      <c r="W28" s="80"/>
      <c r="X28" s="88"/>
      <c r="Y28" s="79"/>
      <c r="Z28" s="80"/>
      <c r="AA28" s="88"/>
      <c r="AB28" s="79"/>
      <c r="AC28" s="80"/>
      <c r="AD28" s="88"/>
      <c r="AE28" s="79"/>
      <c r="AF28" s="80"/>
      <c r="AG28" s="88"/>
      <c r="AH28" s="79"/>
      <c r="AI28" s="80"/>
      <c r="AJ28" s="88"/>
      <c r="AK28" s="79"/>
      <c r="AL28" s="80"/>
    </row>
    <row r="29" spans="3:38" ht="15" customHeight="1" x14ac:dyDescent="0.25">
      <c r="C29" s="88"/>
      <c r="D29" s="79"/>
      <c r="E29" s="80"/>
      <c r="F29" s="122"/>
      <c r="G29" s="79"/>
      <c r="H29" s="80"/>
      <c r="I29" s="122"/>
      <c r="J29" s="79"/>
      <c r="K29" s="80"/>
      <c r="L29" s="88"/>
      <c r="M29" s="79"/>
      <c r="N29" s="80"/>
      <c r="O29" s="88">
        <v>45878</v>
      </c>
      <c r="P29" s="77" t="s">
        <v>327</v>
      </c>
      <c r="Q29" s="78">
        <v>155</v>
      </c>
      <c r="R29" s="88"/>
      <c r="S29" s="79"/>
      <c r="T29" s="80"/>
      <c r="U29" s="88"/>
      <c r="V29" s="79"/>
      <c r="W29" s="80"/>
      <c r="X29" s="88"/>
      <c r="Y29" s="79"/>
      <c r="Z29" s="80"/>
      <c r="AA29" s="88"/>
      <c r="AB29" s="79"/>
      <c r="AC29" s="80"/>
      <c r="AD29" s="88"/>
      <c r="AE29" s="79"/>
      <c r="AF29" s="80"/>
      <c r="AG29" s="88"/>
      <c r="AH29" s="79"/>
      <c r="AI29" s="80"/>
      <c r="AJ29" s="88"/>
      <c r="AK29" s="79"/>
      <c r="AL29" s="80"/>
    </row>
    <row r="30" spans="3:38" ht="15" customHeight="1" thickBot="1" x14ac:dyDescent="0.3">
      <c r="C30" s="83"/>
      <c r="D30" s="84"/>
      <c r="E30" s="85"/>
      <c r="F30" s="135"/>
      <c r="G30" s="84"/>
      <c r="H30" s="85"/>
      <c r="I30" s="83"/>
      <c r="J30" s="84"/>
      <c r="K30" s="85"/>
      <c r="L30" s="83"/>
      <c r="M30" s="84"/>
      <c r="N30" s="85"/>
      <c r="O30" s="83"/>
      <c r="P30" s="84"/>
      <c r="Q30" s="85"/>
      <c r="R30" s="83"/>
      <c r="S30" s="84"/>
      <c r="T30" s="85"/>
      <c r="U30" s="83"/>
      <c r="V30" s="84"/>
      <c r="W30" s="85"/>
      <c r="X30" s="83"/>
      <c r="Y30" s="84"/>
      <c r="Z30" s="85"/>
      <c r="AA30" s="83"/>
      <c r="AB30" s="84"/>
      <c r="AC30" s="85"/>
      <c r="AD30" s="83"/>
      <c r="AE30" s="84"/>
      <c r="AF30" s="85"/>
      <c r="AG30" s="83"/>
      <c r="AH30" s="84"/>
      <c r="AI30" s="85"/>
      <c r="AJ30" s="83"/>
      <c r="AK30" s="84"/>
      <c r="AL30" s="85"/>
    </row>
    <row r="31" spans="3:38" ht="15" customHeight="1" thickBot="1" x14ac:dyDescent="0.3">
      <c r="C31" s="50"/>
      <c r="D31" s="50"/>
      <c r="E31" s="73">
        <f>SUM(E2:E30)</f>
        <v>4118.4174999999996</v>
      </c>
      <c r="F31" s="50"/>
      <c r="G31" s="50"/>
      <c r="H31" s="73">
        <f>SUM(H2:H30)</f>
        <v>2905.3674999999998</v>
      </c>
      <c r="I31" s="50"/>
      <c r="J31" s="50"/>
      <c r="K31" s="73">
        <f>SUM(K2:K30)</f>
        <v>2713.1374999999998</v>
      </c>
      <c r="L31" s="50"/>
      <c r="M31" s="50"/>
      <c r="N31" s="73">
        <f>SUM(N2:N30)</f>
        <v>941.99</v>
      </c>
      <c r="O31" s="50"/>
      <c r="P31" s="50"/>
      <c r="Q31" s="73">
        <f>SUM(Q2:Q30)</f>
        <v>1413.1299999999999</v>
      </c>
      <c r="R31" s="50"/>
      <c r="S31" s="50"/>
      <c r="T31" s="73">
        <f>SUM(T2:T30)</f>
        <v>487.74</v>
      </c>
      <c r="U31" s="50"/>
      <c r="V31" s="50"/>
      <c r="W31" s="73">
        <f>SUM(W2:W30)</f>
        <v>193.99</v>
      </c>
      <c r="X31" s="50"/>
      <c r="Y31" s="50"/>
      <c r="Z31" s="73">
        <f>SUM(Z2:Z30)</f>
        <v>193.99</v>
      </c>
      <c r="AA31" s="50"/>
      <c r="AB31" s="50"/>
      <c r="AC31" s="73">
        <f>SUM(AC2:AC30)</f>
        <v>13.99</v>
      </c>
      <c r="AD31" s="50"/>
      <c r="AE31" s="50"/>
      <c r="AF31" s="73">
        <f>SUM(AF2:AF30)</f>
        <v>13.99</v>
      </c>
      <c r="AG31" s="50"/>
      <c r="AH31" s="50"/>
      <c r="AI31" s="73">
        <f>SUM(AI2:AI30)</f>
        <v>13.99</v>
      </c>
      <c r="AJ31" s="50"/>
      <c r="AK31" s="50"/>
      <c r="AL31" s="73">
        <f>SUM(AL2:AL30)</f>
        <v>13.99</v>
      </c>
    </row>
    <row r="32" spans="3:38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</sheetData>
  <mergeCells count="12">
    <mergeCell ref="AD1:AF1"/>
    <mergeCell ref="AG1:AI1"/>
    <mergeCell ref="AJ1:AL1"/>
    <mergeCell ref="U1:W1"/>
    <mergeCell ref="O1:Q1"/>
    <mergeCell ref="R1:T1"/>
    <mergeCell ref="AA1:AC1"/>
    <mergeCell ref="L1:N1"/>
    <mergeCell ref="C1:E1"/>
    <mergeCell ref="F1:H1"/>
    <mergeCell ref="I1:K1"/>
    <mergeCell ref="X1:Z1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Atualização</vt:lpstr>
      <vt:lpstr>Previsão de orçamentária</vt:lpstr>
      <vt:lpstr>XP 1451  Vence dia 01</vt:lpstr>
      <vt:lpstr>BB Master  5077 Venc dia 02</vt:lpstr>
      <vt:lpstr>BB VISA 4356 - Vence dia 12 </vt:lpstr>
      <vt:lpstr>Santander 9674 Vende dia 22</vt:lpstr>
      <vt:lpstr>BB Petrobras 8392 Vence dia 22</vt:lpstr>
    </vt:vector>
  </TitlesOfParts>
  <Company>Particular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Rogério Wilson Lélis Caixeta</dc:creator>
  <cp:lastModifiedBy>Usuário</cp:lastModifiedBy>
  <cp:revision>19</cp:revision>
  <cp:lastPrinted>2017-07-31T14:30:19Z</cp:lastPrinted>
  <dcterms:created xsi:type="dcterms:W3CDTF">1998-12-02T00:18:49Z</dcterms:created>
  <dcterms:modified xsi:type="dcterms:W3CDTF">2025-08-14T18:28:03Z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Particular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